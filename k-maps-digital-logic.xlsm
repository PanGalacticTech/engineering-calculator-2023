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dheard\Documents\0000.engineering-calculator-2023\"/>
    </mc:Choice>
  </mc:AlternateContent>
  <bookViews>
    <workbookView xWindow="0" yWindow="0" windowWidth="22020" windowHeight="8655"/>
  </bookViews>
  <sheets>
    <sheet name="4 bit" sheetId="3" r:id="rId1"/>
    <sheet name="7 seg" sheetId="5" r:id="rId2"/>
    <sheet name="7 bit" sheetId="2" r:id="rId3"/>
    <sheet name="Sheet1" sheetId="1" r:id="rId4"/>
    <sheet name="Sheet4" sheetId="4" r:id="rId5"/>
  </sheets>
  <functionGroups builtInGroupCount="18"/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9" i="5" l="1"/>
  <c r="T38" i="5"/>
  <c r="S38" i="5"/>
  <c r="P38" i="5"/>
  <c r="W38" i="5" s="1"/>
  <c r="O38" i="5"/>
  <c r="V38" i="5" s="1"/>
  <c r="N38" i="5"/>
  <c r="U38" i="5" s="1"/>
  <c r="M38" i="5"/>
  <c r="L38" i="5"/>
  <c r="K38" i="5"/>
  <c r="R38" i="5" s="1"/>
  <c r="J38" i="5"/>
  <c r="Q38" i="5" s="1"/>
  <c r="B38" i="5"/>
  <c r="X38" i="5" s="1"/>
  <c r="AG37" i="5"/>
  <c r="AF37" i="5"/>
  <c r="AE37" i="5"/>
  <c r="AC37" i="5"/>
  <c r="AB37" i="5"/>
  <c r="AA37" i="5"/>
  <c r="AH37" i="5" s="1"/>
  <c r="S37" i="5"/>
  <c r="R37" i="5"/>
  <c r="Q37" i="5"/>
  <c r="P37" i="5"/>
  <c r="W37" i="5" s="1"/>
  <c r="O37" i="5"/>
  <c r="V37" i="5" s="1"/>
  <c r="N37" i="5"/>
  <c r="U37" i="5" s="1"/>
  <c r="M37" i="5"/>
  <c r="T37" i="5" s="1"/>
  <c r="L37" i="5"/>
  <c r="K37" i="5"/>
  <c r="J37" i="5"/>
  <c r="B37" i="5"/>
  <c r="X37" i="5" s="1"/>
  <c r="AG36" i="5"/>
  <c r="AF36" i="5"/>
  <c r="AE36" i="5"/>
  <c r="AC36" i="5"/>
  <c r="AB36" i="5"/>
  <c r="AA36" i="5"/>
  <c r="AH36" i="5" s="1"/>
  <c r="S36" i="5"/>
  <c r="R36" i="5"/>
  <c r="Q36" i="5"/>
  <c r="P36" i="5"/>
  <c r="W36" i="5" s="1"/>
  <c r="O36" i="5"/>
  <c r="V36" i="5" s="1"/>
  <c r="N36" i="5"/>
  <c r="U36" i="5" s="1"/>
  <c r="M36" i="5"/>
  <c r="T36" i="5" s="1"/>
  <c r="L36" i="5"/>
  <c r="K36" i="5"/>
  <c r="J36" i="5"/>
  <c r="B36" i="5"/>
  <c r="X36" i="5" s="1"/>
  <c r="AG35" i="5"/>
  <c r="AF35" i="5"/>
  <c r="AE35" i="5"/>
  <c r="AC35" i="5"/>
  <c r="AB35" i="5"/>
  <c r="AA35" i="5"/>
  <c r="AH35" i="5" s="1"/>
  <c r="S35" i="5"/>
  <c r="R35" i="5"/>
  <c r="Q35" i="5"/>
  <c r="P35" i="5"/>
  <c r="W35" i="5" s="1"/>
  <c r="O35" i="5"/>
  <c r="V35" i="5" s="1"/>
  <c r="N35" i="5"/>
  <c r="U35" i="5" s="1"/>
  <c r="M35" i="5"/>
  <c r="T35" i="5" s="1"/>
  <c r="L35" i="5"/>
  <c r="K35" i="5"/>
  <c r="J35" i="5"/>
  <c r="B35" i="5"/>
  <c r="X35" i="5" s="1"/>
  <c r="AG34" i="5"/>
  <c r="AF34" i="5"/>
  <c r="AE34" i="5"/>
  <c r="AC34" i="5"/>
  <c r="AB34" i="5"/>
  <c r="AA34" i="5"/>
  <c r="AH34" i="5" s="1"/>
  <c r="S34" i="5"/>
  <c r="R34" i="5"/>
  <c r="Q34" i="5"/>
  <c r="P34" i="5"/>
  <c r="W34" i="5" s="1"/>
  <c r="O34" i="5"/>
  <c r="V34" i="5" s="1"/>
  <c r="N34" i="5"/>
  <c r="U34" i="5" s="1"/>
  <c r="M34" i="5"/>
  <c r="T34" i="5" s="1"/>
  <c r="L34" i="5"/>
  <c r="K34" i="5"/>
  <c r="J34" i="5"/>
  <c r="B34" i="5"/>
  <c r="X34" i="5" s="1"/>
  <c r="AG33" i="5"/>
  <c r="AF33" i="5"/>
  <c r="AE33" i="5"/>
  <c r="AC33" i="5"/>
  <c r="AB33" i="5"/>
  <c r="AA33" i="5"/>
  <c r="AH33" i="5" s="1"/>
  <c r="S33" i="5"/>
  <c r="R33" i="5"/>
  <c r="Q33" i="5"/>
  <c r="P33" i="5"/>
  <c r="W33" i="5" s="1"/>
  <c r="O33" i="5"/>
  <c r="V33" i="5" s="1"/>
  <c r="N33" i="5"/>
  <c r="U33" i="5" s="1"/>
  <c r="M33" i="5"/>
  <c r="T33" i="5" s="1"/>
  <c r="L33" i="5"/>
  <c r="K33" i="5"/>
  <c r="J33" i="5"/>
  <c r="B33" i="5"/>
  <c r="X33" i="5" s="1"/>
  <c r="AG32" i="5"/>
  <c r="AF32" i="5"/>
  <c r="AE32" i="5"/>
  <c r="AC32" i="5"/>
  <c r="AB32" i="5"/>
  <c r="AA32" i="5"/>
  <c r="AH32" i="5" s="1"/>
  <c r="S32" i="5"/>
  <c r="R32" i="5"/>
  <c r="Q32" i="5"/>
  <c r="P32" i="5"/>
  <c r="W32" i="5" s="1"/>
  <c r="O32" i="5"/>
  <c r="V32" i="5" s="1"/>
  <c r="N32" i="5"/>
  <c r="U32" i="5" s="1"/>
  <c r="M32" i="5"/>
  <c r="T32" i="5" s="1"/>
  <c r="L32" i="5"/>
  <c r="K32" i="5"/>
  <c r="J32" i="5"/>
  <c r="B32" i="5"/>
  <c r="X32" i="5" s="1"/>
  <c r="AG31" i="5"/>
  <c r="AF31" i="5"/>
  <c r="AE31" i="5"/>
  <c r="AC31" i="5"/>
  <c r="AB31" i="5"/>
  <c r="AA31" i="5"/>
  <c r="AH31" i="5" s="1"/>
  <c r="S31" i="5"/>
  <c r="R31" i="5"/>
  <c r="Q31" i="5"/>
  <c r="P31" i="5"/>
  <c r="W31" i="5" s="1"/>
  <c r="O31" i="5"/>
  <c r="V31" i="5" s="1"/>
  <c r="N31" i="5"/>
  <c r="U31" i="5" s="1"/>
  <c r="M31" i="5"/>
  <c r="T31" i="5" s="1"/>
  <c r="L31" i="5"/>
  <c r="K31" i="5"/>
  <c r="J31" i="5"/>
  <c r="B31" i="5"/>
  <c r="X31" i="5" s="1"/>
  <c r="AG30" i="5"/>
  <c r="AF30" i="5"/>
  <c r="AE30" i="5"/>
  <c r="AC30" i="5"/>
  <c r="AB30" i="5"/>
  <c r="AA30" i="5"/>
  <c r="AH30" i="5" s="1"/>
  <c r="S30" i="5"/>
  <c r="R30" i="5"/>
  <c r="Q30" i="5"/>
  <c r="P30" i="5"/>
  <c r="W30" i="5" s="1"/>
  <c r="O30" i="5"/>
  <c r="V30" i="5" s="1"/>
  <c r="N30" i="5"/>
  <c r="U30" i="5" s="1"/>
  <c r="M30" i="5"/>
  <c r="T30" i="5" s="1"/>
  <c r="L30" i="5"/>
  <c r="K30" i="5"/>
  <c r="J30" i="5"/>
  <c r="B30" i="5"/>
  <c r="X30" i="5" s="1"/>
  <c r="AG29" i="5"/>
  <c r="AF29" i="5"/>
  <c r="AE29" i="5"/>
  <c r="AC29" i="5"/>
  <c r="AB29" i="5"/>
  <c r="AA29" i="5"/>
  <c r="AH29" i="5" s="1"/>
  <c r="S29" i="5"/>
  <c r="R29" i="5"/>
  <c r="Q29" i="5"/>
  <c r="P29" i="5"/>
  <c r="W29" i="5" s="1"/>
  <c r="O29" i="5"/>
  <c r="V29" i="5" s="1"/>
  <c r="N29" i="5"/>
  <c r="U29" i="5" s="1"/>
  <c r="M29" i="5"/>
  <c r="T29" i="5" s="1"/>
  <c r="L29" i="5"/>
  <c r="K29" i="5"/>
  <c r="J29" i="5"/>
  <c r="B29" i="5"/>
  <c r="X29" i="5" s="1"/>
  <c r="AG28" i="5"/>
  <c r="AF28" i="5"/>
  <c r="AE28" i="5"/>
  <c r="AC28" i="5"/>
  <c r="AB28" i="5"/>
  <c r="AA28" i="5"/>
  <c r="AH28" i="5" s="1"/>
  <c r="AA27" i="5"/>
  <c r="AH27" i="5" s="1"/>
  <c r="AH26" i="5"/>
  <c r="AG26" i="5"/>
  <c r="AF26" i="5"/>
  <c r="AA26" i="5"/>
  <c r="AE26" i="5" s="1"/>
  <c r="AG25" i="5"/>
  <c r="AF25" i="5"/>
  <c r="AE25" i="5"/>
  <c r="AC25" i="5"/>
  <c r="AB25" i="5"/>
  <c r="AA25" i="5"/>
  <c r="AH25" i="5" s="1"/>
  <c r="AA24" i="5"/>
  <c r="AG24" i="5" s="1"/>
  <c r="AH23" i="5"/>
  <c r="AG23" i="5"/>
  <c r="AF23" i="5"/>
  <c r="AA23" i="5"/>
  <c r="AE23" i="5" s="1"/>
  <c r="AG22" i="5"/>
  <c r="AF22" i="5"/>
  <c r="AE22" i="5"/>
  <c r="AD22" i="5"/>
  <c r="AC22" i="5"/>
  <c r="AB22" i="5"/>
  <c r="AA22" i="5"/>
  <c r="AE10" i="5"/>
  <c r="AE9" i="5"/>
  <c r="AD9" i="5"/>
  <c r="AD8" i="5"/>
  <c r="AC8" i="5"/>
  <c r="AE7" i="5"/>
  <c r="AD7" i="5"/>
  <c r="AE8" i="5" s="1"/>
  <c r="AC7" i="5"/>
  <c r="AB7" i="5"/>
  <c r="AA7" i="5"/>
  <c r="AB8" i="5" s="1"/>
  <c r="AC9" i="5" s="1"/>
  <c r="AD10" i="5" s="1"/>
  <c r="AE11" i="5" s="1"/>
  <c r="AG6" i="5"/>
  <c r="AG7" i="5"/>
  <c r="Y7" i="5" l="1"/>
  <c r="Z8" i="5" s="1"/>
  <c r="AA9" i="5" s="1"/>
  <c r="Y6" i="5"/>
  <c r="Z7" i="5" s="1"/>
  <c r="AA8" i="5" s="1"/>
  <c r="AB27" i="5"/>
  <c r="AH22" i="5"/>
  <c r="AD24" i="5"/>
  <c r="AD26" i="5" s="1"/>
  <c r="AD28" i="5" s="1"/>
  <c r="AD30" i="5" s="1"/>
  <c r="AD32" i="5" s="1"/>
  <c r="AD34" i="5" s="1"/>
  <c r="AD36" i="5" s="1"/>
  <c r="AE24" i="5"/>
  <c r="AE27" i="5"/>
  <c r="AB23" i="5"/>
  <c r="AB24" i="5"/>
  <c r="AF24" i="5"/>
  <c r="AC26" i="5"/>
  <c r="AC27" i="5"/>
  <c r="AF27" i="5"/>
  <c r="AC23" i="5"/>
  <c r="AG27" i="5"/>
  <c r="AD23" i="5"/>
  <c r="AD25" i="5" s="1"/>
  <c r="AD27" i="5" s="1"/>
  <c r="AD29" i="5" s="1"/>
  <c r="AD31" i="5" s="1"/>
  <c r="AD33" i="5" s="1"/>
  <c r="AD35" i="5" s="1"/>
  <c r="AD37" i="5" s="1"/>
  <c r="AH24" i="5"/>
  <c r="AC24" i="5"/>
  <c r="AB26" i="5"/>
  <c r="AG9" i="5"/>
  <c r="AG8" i="5"/>
  <c r="Y8" i="5" l="1"/>
  <c r="Z9" i="5" s="1"/>
  <c r="AA10" i="5" s="1"/>
  <c r="AB11" i="5" s="1"/>
  <c r="Y9" i="5"/>
  <c r="Z10" i="5" s="1"/>
  <c r="AA11" i="5" s="1"/>
  <c r="AB9" i="5"/>
  <c r="AC10" i="5" s="1"/>
  <c r="AB10" i="5"/>
  <c r="AC11" i="5" s="1"/>
  <c r="W61" i="3"/>
  <c r="Z61" i="3" s="1"/>
  <c r="W60" i="3"/>
  <c r="Z60" i="3" s="1"/>
  <c r="W59" i="3"/>
  <c r="X59" i="3" s="1"/>
  <c r="X58" i="3"/>
  <c r="W58" i="3"/>
  <c r="Z58" i="3" s="1"/>
  <c r="W49" i="3"/>
  <c r="Z49" i="3" s="1"/>
  <c r="W48" i="3"/>
  <c r="Z48" i="3" s="1"/>
  <c r="W47" i="3"/>
  <c r="X47" i="3" s="1"/>
  <c r="X46" i="3"/>
  <c r="W46" i="3"/>
  <c r="Z46" i="3" s="1"/>
  <c r="W37" i="3"/>
  <c r="Z37" i="3" s="1"/>
  <c r="W36" i="3"/>
  <c r="Z36" i="3" s="1"/>
  <c r="W35" i="3"/>
  <c r="X35" i="3" s="1"/>
  <c r="X34" i="3"/>
  <c r="W34" i="3"/>
  <c r="Z34" i="3" s="1"/>
  <c r="Z23" i="3"/>
  <c r="Z24" i="3"/>
  <c r="Z25" i="3"/>
  <c r="M30" i="3"/>
  <c r="N30" i="3"/>
  <c r="O30" i="3"/>
  <c r="P30" i="3"/>
  <c r="M31" i="3"/>
  <c r="N31" i="3"/>
  <c r="O31" i="3"/>
  <c r="P31" i="3"/>
  <c r="M32" i="3"/>
  <c r="N32" i="3"/>
  <c r="O32" i="3"/>
  <c r="P32" i="3"/>
  <c r="M33" i="3"/>
  <c r="N33" i="3"/>
  <c r="O33" i="3"/>
  <c r="P33" i="3"/>
  <c r="M34" i="3"/>
  <c r="N34" i="3"/>
  <c r="O34" i="3"/>
  <c r="P34" i="3"/>
  <c r="M35" i="3"/>
  <c r="N35" i="3"/>
  <c r="O35" i="3"/>
  <c r="P35" i="3"/>
  <c r="M36" i="3"/>
  <c r="N36" i="3"/>
  <c r="O36" i="3"/>
  <c r="P36" i="3"/>
  <c r="M37" i="3"/>
  <c r="N37" i="3"/>
  <c r="O37" i="3"/>
  <c r="P37" i="3"/>
  <c r="M38" i="3"/>
  <c r="N38" i="3"/>
  <c r="O38" i="3"/>
  <c r="P38" i="3"/>
  <c r="N29" i="3"/>
  <c r="O29" i="3"/>
  <c r="P29" i="3"/>
  <c r="M29" i="3"/>
  <c r="H30" i="3"/>
  <c r="I30" i="3"/>
  <c r="J30" i="3"/>
  <c r="K30" i="3"/>
  <c r="H31" i="3"/>
  <c r="I31" i="3"/>
  <c r="J31" i="3"/>
  <c r="K31" i="3"/>
  <c r="H32" i="3"/>
  <c r="I32" i="3"/>
  <c r="J32" i="3"/>
  <c r="K32" i="3"/>
  <c r="H33" i="3"/>
  <c r="I33" i="3"/>
  <c r="J33" i="3"/>
  <c r="K33" i="3"/>
  <c r="H34" i="3"/>
  <c r="I34" i="3"/>
  <c r="J34" i="3"/>
  <c r="K34" i="3"/>
  <c r="H35" i="3"/>
  <c r="I35" i="3"/>
  <c r="J35" i="3"/>
  <c r="K35" i="3"/>
  <c r="H36" i="3"/>
  <c r="I36" i="3"/>
  <c r="J36" i="3"/>
  <c r="K36" i="3"/>
  <c r="H37" i="3"/>
  <c r="I37" i="3"/>
  <c r="J37" i="3"/>
  <c r="K37" i="3"/>
  <c r="H38" i="3"/>
  <c r="I38" i="3"/>
  <c r="J38" i="3"/>
  <c r="K38" i="3"/>
  <c r="H29" i="3"/>
  <c r="B30" i="3"/>
  <c r="B31" i="3"/>
  <c r="R31" i="3" s="1"/>
  <c r="B32" i="3"/>
  <c r="R32" i="3" s="1"/>
  <c r="B33" i="3"/>
  <c r="R33" i="3" s="1"/>
  <c r="B34" i="3"/>
  <c r="R34" i="3" s="1"/>
  <c r="B35" i="3"/>
  <c r="B36" i="3"/>
  <c r="R36" i="3" s="1"/>
  <c r="B37" i="3"/>
  <c r="B38" i="3"/>
  <c r="R38" i="3" s="1"/>
  <c r="B39" i="3"/>
  <c r="B29" i="3"/>
  <c r="R37" i="3"/>
  <c r="R35" i="3"/>
  <c r="R30" i="3"/>
  <c r="K29" i="3"/>
  <c r="J29" i="3"/>
  <c r="I29" i="3"/>
  <c r="R29" i="3"/>
  <c r="W25" i="3"/>
  <c r="W24" i="3"/>
  <c r="W23" i="3"/>
  <c r="Y23" i="3" s="1"/>
  <c r="W22" i="3"/>
  <c r="Y22" i="3" s="1"/>
  <c r="AC8" i="3"/>
  <c r="AD9" i="3" s="1"/>
  <c r="AE10" i="3" s="1"/>
  <c r="AB8" i="3"/>
  <c r="AC9" i="3" s="1"/>
  <c r="AD10" i="3" s="1"/>
  <c r="AE11" i="3" s="1"/>
  <c r="AE7" i="3"/>
  <c r="AD7" i="3"/>
  <c r="AE8" i="3" s="1"/>
  <c r="AC7" i="3"/>
  <c r="AD8" i="3" s="1"/>
  <c r="AE9" i="3" s="1"/>
  <c r="AB7" i="3"/>
  <c r="AA7" i="3"/>
  <c r="X30" i="2"/>
  <c r="X31" i="2"/>
  <c r="X32" i="2"/>
  <c r="X33" i="2"/>
  <c r="X34" i="2"/>
  <c r="X35" i="2"/>
  <c r="X36" i="2"/>
  <c r="X37" i="2"/>
  <c r="X38" i="2"/>
  <c r="X29" i="2"/>
  <c r="AH23" i="2"/>
  <c r="AH24" i="2"/>
  <c r="AH25" i="2"/>
  <c r="AH26" i="2"/>
  <c r="AH27" i="2"/>
  <c r="AH28" i="2"/>
  <c r="AH29" i="2"/>
  <c r="AH30" i="2"/>
  <c r="AH31" i="2"/>
  <c r="AH32" i="2"/>
  <c r="AH33" i="2"/>
  <c r="AH34" i="2"/>
  <c r="AH35" i="2"/>
  <c r="AH36" i="2"/>
  <c r="AH37" i="2"/>
  <c r="AH22" i="2"/>
  <c r="AG23" i="2"/>
  <c r="AG24" i="2"/>
  <c r="AG25" i="2"/>
  <c r="AG26" i="2"/>
  <c r="AG27" i="2"/>
  <c r="AG28" i="2"/>
  <c r="AG29" i="2"/>
  <c r="AG30" i="2"/>
  <c r="AG31" i="2"/>
  <c r="AG32" i="2"/>
  <c r="AG33" i="2"/>
  <c r="AG34" i="2"/>
  <c r="AG35" i="2"/>
  <c r="AG36" i="2"/>
  <c r="AG37" i="2"/>
  <c r="AG22" i="2"/>
  <c r="AF23" i="2"/>
  <c r="AF24" i="2"/>
  <c r="AF25" i="2"/>
  <c r="AF26" i="2"/>
  <c r="AF27" i="2"/>
  <c r="AF28" i="2"/>
  <c r="AF29" i="2"/>
  <c r="AF30" i="2"/>
  <c r="AF31" i="2"/>
  <c r="AF32" i="2"/>
  <c r="AF33" i="2"/>
  <c r="AF34" i="2"/>
  <c r="AF35" i="2"/>
  <c r="AF36" i="2"/>
  <c r="AF37" i="2"/>
  <c r="AF22" i="2"/>
  <c r="AE23" i="2"/>
  <c r="AE24" i="2"/>
  <c r="AE25" i="2"/>
  <c r="AE26" i="2"/>
  <c r="AE27" i="2"/>
  <c r="AE28" i="2"/>
  <c r="AE29" i="2"/>
  <c r="AE30" i="2"/>
  <c r="AE31" i="2"/>
  <c r="AE32" i="2"/>
  <c r="AE33" i="2"/>
  <c r="AE34" i="2"/>
  <c r="AE35" i="2"/>
  <c r="AE36" i="2"/>
  <c r="AE37" i="2"/>
  <c r="AE22" i="2"/>
  <c r="AD22" i="2"/>
  <c r="AD24" i="2" s="1"/>
  <c r="AD26" i="2" s="1"/>
  <c r="AD28" i="2" s="1"/>
  <c r="AD30" i="2" s="1"/>
  <c r="AD32" i="2" s="1"/>
  <c r="AD34" i="2" s="1"/>
  <c r="AD36" i="2" s="1"/>
  <c r="AD23" i="2"/>
  <c r="AD25" i="2"/>
  <c r="AD27" i="2" s="1"/>
  <c r="AD29" i="2" s="1"/>
  <c r="AD31" i="2" s="1"/>
  <c r="AD33" i="2" s="1"/>
  <c r="AD35" i="2" s="1"/>
  <c r="AD37" i="2" s="1"/>
  <c r="AC22" i="2"/>
  <c r="AC23" i="2"/>
  <c r="AC24" i="2"/>
  <c r="AC25" i="2"/>
  <c r="AC26" i="2"/>
  <c r="AC27" i="2"/>
  <c r="AC28" i="2"/>
  <c r="AC29" i="2"/>
  <c r="AC30" i="2"/>
  <c r="AC31" i="2"/>
  <c r="AC32" i="2"/>
  <c r="AC33" i="2"/>
  <c r="AC34" i="2"/>
  <c r="AC35" i="2"/>
  <c r="AC36" i="2"/>
  <c r="AC37" i="2"/>
  <c r="AB22" i="2"/>
  <c r="AB23" i="2"/>
  <c r="AB24" i="2"/>
  <c r="AB25" i="2"/>
  <c r="AB26" i="2"/>
  <c r="AB27" i="2"/>
  <c r="AB28" i="2"/>
  <c r="AB29" i="2"/>
  <c r="AB30" i="2"/>
  <c r="AB31" i="2"/>
  <c r="AB32" i="2"/>
  <c r="AB33" i="2"/>
  <c r="AB34" i="2"/>
  <c r="AB35" i="2"/>
  <c r="AB36" i="2"/>
  <c r="AB37" i="2"/>
  <c r="AA23" i="2"/>
  <c r="AA24" i="2"/>
  <c r="AA25" i="2"/>
  <c r="AA26" i="2"/>
  <c r="AA27" i="2"/>
  <c r="AA28" i="2"/>
  <c r="AA29" i="2"/>
  <c r="AA30" i="2"/>
  <c r="AA31" i="2"/>
  <c r="AA32" i="2"/>
  <c r="AA33" i="2"/>
  <c r="AA34" i="2"/>
  <c r="AA35" i="2"/>
  <c r="AA36" i="2"/>
  <c r="AA37" i="2"/>
  <c r="AA22" i="2"/>
  <c r="B30" i="2"/>
  <c r="B31" i="2"/>
  <c r="B32" i="2"/>
  <c r="B33" i="2"/>
  <c r="B34" i="2"/>
  <c r="B35" i="2"/>
  <c r="B36" i="2"/>
  <c r="B37" i="2"/>
  <c r="B38" i="2"/>
  <c r="B39" i="2"/>
  <c r="B29" i="2"/>
  <c r="W29" i="2"/>
  <c r="V38" i="2"/>
  <c r="W38" i="2"/>
  <c r="R29" i="2"/>
  <c r="S29" i="2"/>
  <c r="T29" i="2"/>
  <c r="U29" i="2"/>
  <c r="V29" i="2"/>
  <c r="Q29" i="2"/>
  <c r="J30" i="2"/>
  <c r="Q30" i="2" s="1"/>
  <c r="K30" i="2"/>
  <c r="R30" i="2" s="1"/>
  <c r="L30" i="2"/>
  <c r="S30" i="2" s="1"/>
  <c r="M30" i="2"/>
  <c r="T30" i="2" s="1"/>
  <c r="N30" i="2"/>
  <c r="U30" i="2" s="1"/>
  <c r="O30" i="2"/>
  <c r="V30" i="2" s="1"/>
  <c r="P30" i="2"/>
  <c r="W30" i="2" s="1"/>
  <c r="J31" i="2"/>
  <c r="Q31" i="2" s="1"/>
  <c r="K31" i="2"/>
  <c r="R31" i="2" s="1"/>
  <c r="L31" i="2"/>
  <c r="S31" i="2" s="1"/>
  <c r="M31" i="2"/>
  <c r="T31" i="2" s="1"/>
  <c r="N31" i="2"/>
  <c r="U31" i="2" s="1"/>
  <c r="O31" i="2"/>
  <c r="V31" i="2" s="1"/>
  <c r="P31" i="2"/>
  <c r="W31" i="2" s="1"/>
  <c r="J32" i="2"/>
  <c r="Q32" i="2" s="1"/>
  <c r="K32" i="2"/>
  <c r="R32" i="2" s="1"/>
  <c r="L32" i="2"/>
  <c r="S32" i="2" s="1"/>
  <c r="M32" i="2"/>
  <c r="T32" i="2" s="1"/>
  <c r="N32" i="2"/>
  <c r="U32" i="2" s="1"/>
  <c r="O32" i="2"/>
  <c r="V32" i="2" s="1"/>
  <c r="P32" i="2"/>
  <c r="W32" i="2" s="1"/>
  <c r="J33" i="2"/>
  <c r="Q33" i="2" s="1"/>
  <c r="K33" i="2"/>
  <c r="R33" i="2" s="1"/>
  <c r="L33" i="2"/>
  <c r="S33" i="2" s="1"/>
  <c r="M33" i="2"/>
  <c r="T33" i="2" s="1"/>
  <c r="N33" i="2"/>
  <c r="U33" i="2" s="1"/>
  <c r="O33" i="2"/>
  <c r="V33" i="2" s="1"/>
  <c r="P33" i="2"/>
  <c r="W33" i="2" s="1"/>
  <c r="J34" i="2"/>
  <c r="Q34" i="2" s="1"/>
  <c r="K34" i="2"/>
  <c r="R34" i="2" s="1"/>
  <c r="L34" i="2"/>
  <c r="S34" i="2" s="1"/>
  <c r="M34" i="2"/>
  <c r="T34" i="2" s="1"/>
  <c r="N34" i="2"/>
  <c r="U34" i="2" s="1"/>
  <c r="O34" i="2"/>
  <c r="V34" i="2" s="1"/>
  <c r="P34" i="2"/>
  <c r="W34" i="2" s="1"/>
  <c r="J35" i="2"/>
  <c r="Q35" i="2" s="1"/>
  <c r="K35" i="2"/>
  <c r="R35" i="2" s="1"/>
  <c r="L35" i="2"/>
  <c r="S35" i="2" s="1"/>
  <c r="M35" i="2"/>
  <c r="T35" i="2" s="1"/>
  <c r="N35" i="2"/>
  <c r="U35" i="2" s="1"/>
  <c r="O35" i="2"/>
  <c r="V35" i="2" s="1"/>
  <c r="P35" i="2"/>
  <c r="W35" i="2" s="1"/>
  <c r="J36" i="2"/>
  <c r="Q36" i="2" s="1"/>
  <c r="K36" i="2"/>
  <c r="R36" i="2" s="1"/>
  <c r="L36" i="2"/>
  <c r="S36" i="2" s="1"/>
  <c r="M36" i="2"/>
  <c r="T36" i="2" s="1"/>
  <c r="N36" i="2"/>
  <c r="U36" i="2" s="1"/>
  <c r="O36" i="2"/>
  <c r="V36" i="2" s="1"/>
  <c r="P36" i="2"/>
  <c r="W36" i="2" s="1"/>
  <c r="J37" i="2"/>
  <c r="Q37" i="2" s="1"/>
  <c r="K37" i="2"/>
  <c r="R37" i="2" s="1"/>
  <c r="L37" i="2"/>
  <c r="S37" i="2" s="1"/>
  <c r="M37" i="2"/>
  <c r="T37" i="2" s="1"/>
  <c r="N37" i="2"/>
  <c r="U37" i="2" s="1"/>
  <c r="O37" i="2"/>
  <c r="V37" i="2" s="1"/>
  <c r="P37" i="2"/>
  <c r="W37" i="2" s="1"/>
  <c r="J38" i="2"/>
  <c r="Q38" i="2" s="1"/>
  <c r="K38" i="2"/>
  <c r="R38" i="2" s="1"/>
  <c r="L38" i="2"/>
  <c r="S38" i="2" s="1"/>
  <c r="M38" i="2"/>
  <c r="T38" i="2" s="1"/>
  <c r="N38" i="2"/>
  <c r="U38" i="2" s="1"/>
  <c r="O38" i="2"/>
  <c r="P38" i="2"/>
  <c r="M29" i="2"/>
  <c r="N29" i="2"/>
  <c r="O29" i="2"/>
  <c r="P29" i="2"/>
  <c r="L29" i="2"/>
  <c r="K29" i="2"/>
  <c r="J29" i="2"/>
  <c r="AE8" i="2"/>
  <c r="AD8" i="2"/>
  <c r="AE9" i="2" s="1"/>
  <c r="AC8" i="2"/>
  <c r="AD9" i="2" s="1"/>
  <c r="AE10" i="2" s="1"/>
  <c r="AB8" i="2"/>
  <c r="AC9" i="2" s="1"/>
  <c r="AD10" i="2" s="1"/>
  <c r="AE11" i="2" s="1"/>
  <c r="AE7" i="2"/>
  <c r="AD7" i="2"/>
  <c r="AC7" i="2"/>
  <c r="AB7" i="2"/>
  <c r="AA7" i="2"/>
  <c r="AG10" i="5"/>
  <c r="AG11" i="5"/>
  <c r="AG7" i="3"/>
  <c r="AG6" i="3"/>
  <c r="AG7" i="2"/>
  <c r="AG6" i="2"/>
  <c r="Y11" i="5" l="1"/>
  <c r="Y10" i="5"/>
  <c r="Z11" i="5" s="1"/>
  <c r="AD11" i="5"/>
  <c r="Y59" i="3"/>
  <c r="Z59" i="3"/>
  <c r="X60" i="3"/>
  <c r="Y60" i="3"/>
  <c r="X61" i="3"/>
  <c r="Y58" i="3"/>
  <c r="Y61" i="3"/>
  <c r="Y47" i="3"/>
  <c r="Z47" i="3"/>
  <c r="X48" i="3"/>
  <c r="Y48" i="3"/>
  <c r="X49" i="3"/>
  <c r="Y46" i="3"/>
  <c r="Y49" i="3"/>
  <c r="Y35" i="3"/>
  <c r="Z35" i="3"/>
  <c r="X36" i="3"/>
  <c r="Y36" i="3"/>
  <c r="X37" i="3"/>
  <c r="Y34" i="3"/>
  <c r="Y37" i="3"/>
  <c r="X23" i="3"/>
  <c r="Y25" i="3"/>
  <c r="Y6" i="3"/>
  <c r="Z7" i="3" s="1"/>
  <c r="AA8" i="3" s="1"/>
  <c r="Y7" i="3"/>
  <c r="Z8" i="3" s="1"/>
  <c r="AA9" i="3" s="1"/>
  <c r="X22" i="3"/>
  <c r="X25" i="3"/>
  <c r="Z22" i="3"/>
  <c r="X24" i="3"/>
  <c r="Y24" i="3"/>
  <c r="Y6" i="2"/>
  <c r="Z7" i="2" s="1"/>
  <c r="AA8" i="2" s="1"/>
  <c r="Y7" i="2"/>
  <c r="Z8" i="2" s="1"/>
  <c r="AA9" i="2" s="1"/>
  <c r="H30" i="1"/>
  <c r="I30" i="1"/>
  <c r="J30" i="1"/>
  <c r="H31" i="1"/>
  <c r="I31" i="1"/>
  <c r="J31" i="1"/>
  <c r="H32" i="1"/>
  <c r="I32" i="1"/>
  <c r="J32" i="1"/>
  <c r="H33" i="1"/>
  <c r="I33" i="1"/>
  <c r="J33" i="1"/>
  <c r="H34" i="1"/>
  <c r="I34" i="1"/>
  <c r="J34" i="1"/>
  <c r="H35" i="1"/>
  <c r="I35" i="1"/>
  <c r="J35" i="1"/>
  <c r="I29" i="1"/>
  <c r="J29" i="1"/>
  <c r="H29" i="1"/>
  <c r="AG8" i="3"/>
  <c r="AG9" i="3"/>
  <c r="AG8" i="2"/>
  <c r="AG9" i="2"/>
  <c r="Y9" i="3" l="1"/>
  <c r="Z10" i="3" s="1"/>
  <c r="AA11" i="3" s="1"/>
  <c r="Y8" i="3"/>
  <c r="Z9" i="3" s="1"/>
  <c r="AA10" i="3" s="1"/>
  <c r="AB11" i="3" s="1"/>
  <c r="AB10" i="3"/>
  <c r="AC11" i="3" s="1"/>
  <c r="AB9" i="3"/>
  <c r="AC10" i="3" s="1"/>
  <c r="Y9" i="2"/>
  <c r="Z10" i="2" s="1"/>
  <c r="AA11" i="2" s="1"/>
  <c r="Y8" i="2"/>
  <c r="Z9" i="2" s="1"/>
  <c r="AA10" i="2" s="1"/>
  <c r="AB11" i="2" s="1"/>
  <c r="AB10" i="2"/>
  <c r="AC11" i="2" s="1"/>
  <c r="AB9" i="2"/>
  <c r="AC10" i="2" s="1"/>
  <c r="B31" i="1"/>
  <c r="C31" i="1"/>
  <c r="D31" i="1"/>
  <c r="B32" i="1"/>
  <c r="C32" i="1"/>
  <c r="D32" i="1"/>
  <c r="B33" i="1"/>
  <c r="C33" i="1"/>
  <c r="D33" i="1"/>
  <c r="B34" i="1"/>
  <c r="C34" i="1"/>
  <c r="D34" i="1"/>
  <c r="B35" i="1"/>
  <c r="C35" i="1"/>
  <c r="D35" i="1"/>
  <c r="B38" i="1"/>
  <c r="C38" i="1"/>
  <c r="D38" i="1"/>
  <c r="D30" i="1"/>
  <c r="C30" i="1"/>
  <c r="B30" i="1"/>
  <c r="AA13" i="1"/>
  <c r="X12" i="1"/>
  <c r="Y13" i="1" s="1"/>
  <c r="Z14" i="1" s="1"/>
  <c r="AA15" i="1" s="1"/>
  <c r="Y12" i="1"/>
  <c r="Z13" i="1" s="1"/>
  <c r="AA14" i="1" s="1"/>
  <c r="Z12" i="1"/>
  <c r="AA12" i="1"/>
  <c r="W12" i="1"/>
  <c r="X13" i="1" s="1"/>
  <c r="Y14" i="1" s="1"/>
  <c r="Z15" i="1" s="1"/>
  <c r="AA16" i="1" s="1"/>
  <c r="AG11" i="2"/>
  <c r="AC11" i="1"/>
  <c r="AC12" i="1"/>
  <c r="AG10" i="2"/>
  <c r="AG11" i="3"/>
  <c r="AG10" i="3"/>
  <c r="Y10" i="3" l="1"/>
  <c r="Z11" i="3" s="1"/>
  <c r="Y11" i="3"/>
  <c r="AD11" i="3"/>
  <c r="Y10" i="2"/>
  <c r="Z11" i="2" s="1"/>
  <c r="Y11" i="2"/>
  <c r="AD11" i="2"/>
  <c r="U12" i="1"/>
  <c r="V13" i="1" s="1"/>
  <c r="W14" i="1" s="1"/>
  <c r="U11" i="1"/>
  <c r="V12" i="1" s="1"/>
  <c r="W13" i="1" s="1"/>
  <c r="AC14" i="1"/>
  <c r="AC13" i="1"/>
  <c r="U13" i="1" l="1"/>
  <c r="V14" i="1" s="1"/>
  <c r="W15" i="1" s="1"/>
  <c r="X16" i="1" s="1"/>
  <c r="X14" i="1"/>
  <c r="Y15" i="1" s="1"/>
  <c r="X15" i="1"/>
  <c r="Y16" i="1" s="1"/>
  <c r="U14" i="1"/>
  <c r="V15" i="1" s="1"/>
  <c r="W16" i="1" s="1"/>
  <c r="AC16" i="1"/>
  <c r="AC15" i="1"/>
  <c r="U15" i="1" l="1"/>
  <c r="V16" i="1" s="1"/>
  <c r="Z16" i="1"/>
  <c r="U16" i="1"/>
</calcChain>
</file>

<file path=xl/sharedStrings.xml><?xml version="1.0" encoding="utf-8"?>
<sst xmlns="http://schemas.openxmlformats.org/spreadsheetml/2006/main" count="451" uniqueCount="127">
  <si>
    <t>Clock</t>
  </si>
  <si>
    <t>Data</t>
  </si>
  <si>
    <t>Qa</t>
  </si>
  <si>
    <t>Qb</t>
  </si>
  <si>
    <t>Qc</t>
  </si>
  <si>
    <t>Qd</t>
  </si>
  <si>
    <t>Qe</t>
  </si>
  <si>
    <t>Qf</t>
  </si>
  <si>
    <t>XOR</t>
  </si>
  <si>
    <t>D-Type Flip Flop</t>
  </si>
  <si>
    <t>Characteristic tables define the behavior of flip-flops:</t>
  </si>
  <si>
    <t>D</t>
  </si>
  <si>
    <t>reset</t>
  </si>
  <si>
    <t>set</t>
  </si>
  <si>
    <t>T-Type Flip Flop</t>
  </si>
  <si>
    <t>hold</t>
  </si>
  <si>
    <t>toggle</t>
  </si>
  <si>
    <t>Excitation table: Shows what input is necessary to generate a given output</t>
  </si>
  <si>
    <t>Q(n+1)</t>
  </si>
  <si>
    <t>Qn</t>
  </si>
  <si>
    <t>Circuit Excitation Table</t>
  </si>
  <si>
    <t>Current State</t>
  </si>
  <si>
    <t>Next State</t>
  </si>
  <si>
    <t>Input Required</t>
  </si>
  <si>
    <t>Q3</t>
  </si>
  <si>
    <t>Q2</t>
  </si>
  <si>
    <t>Q1</t>
  </si>
  <si>
    <t>Q2Q1</t>
  </si>
  <si>
    <t>00</t>
  </si>
  <si>
    <t>01</t>
  </si>
  <si>
    <t>11</t>
  </si>
  <si>
    <t>10</t>
  </si>
  <si>
    <t>D3</t>
  </si>
  <si>
    <t>D2</t>
  </si>
  <si>
    <t>D1</t>
  </si>
  <si>
    <t>K-Map for D1</t>
  </si>
  <si>
    <t>Do K-Maps for EACH input</t>
  </si>
  <si>
    <t>K-Map for D2</t>
  </si>
  <si>
    <t>K-Map for D3</t>
  </si>
  <si>
    <t>D1 = !Q2Q3 + Q1Q2!Q3 + !Q1Q2Q3</t>
  </si>
  <si>
    <t>D2 = Q1!Q2 + !Q1Q2</t>
  </si>
  <si>
    <t>D3 = !Q1Q3 + !Q2!Q3</t>
  </si>
  <si>
    <t>State</t>
  </si>
  <si>
    <t>A</t>
  </si>
  <si>
    <t>B</t>
  </si>
  <si>
    <t>C</t>
  </si>
  <si>
    <t>E</t>
  </si>
  <si>
    <t>F</t>
  </si>
  <si>
    <t>G</t>
  </si>
  <si>
    <t>DCBA</t>
  </si>
  <si>
    <t>GFE</t>
  </si>
  <si>
    <t>0</t>
  </si>
  <si>
    <t>0000</t>
  </si>
  <si>
    <t>1</t>
  </si>
  <si>
    <t>0001</t>
  </si>
  <si>
    <t>3</t>
  </si>
  <si>
    <t>0011</t>
  </si>
  <si>
    <t>2</t>
  </si>
  <si>
    <t>0010</t>
  </si>
  <si>
    <t>6</t>
  </si>
  <si>
    <t>0110</t>
  </si>
  <si>
    <t>7</t>
  </si>
  <si>
    <t>0111</t>
  </si>
  <si>
    <t>5</t>
  </si>
  <si>
    <t>0101</t>
  </si>
  <si>
    <t>4</t>
  </si>
  <si>
    <t>0100</t>
  </si>
  <si>
    <t>12</t>
  </si>
  <si>
    <t>1100</t>
  </si>
  <si>
    <t>13</t>
  </si>
  <si>
    <t>1101</t>
  </si>
  <si>
    <t>15</t>
  </si>
  <si>
    <t>1111</t>
  </si>
  <si>
    <t>14</t>
  </si>
  <si>
    <t>1110</t>
  </si>
  <si>
    <t>1010</t>
  </si>
  <si>
    <t>1011</t>
  </si>
  <si>
    <t>9</t>
  </si>
  <si>
    <t>1001</t>
  </si>
  <si>
    <t>8</t>
  </si>
  <si>
    <t>1000</t>
  </si>
  <si>
    <t>000</t>
  </si>
  <si>
    <t>001</t>
  </si>
  <si>
    <t>011</t>
  </si>
  <si>
    <t>010</t>
  </si>
  <si>
    <t>110</t>
  </si>
  <si>
    <t>111</t>
  </si>
  <si>
    <t>100</t>
  </si>
  <si>
    <t>K-Map for A</t>
  </si>
  <si>
    <t>State Number</t>
  </si>
  <si>
    <t>16</t>
  </si>
  <si>
    <t>48</t>
  </si>
  <si>
    <t>32</t>
  </si>
  <si>
    <t>96</t>
  </si>
  <si>
    <t>112</t>
  </si>
  <si>
    <t>101</t>
  </si>
  <si>
    <t>80</t>
  </si>
  <si>
    <t>64</t>
  </si>
  <si>
    <t>A =</t>
  </si>
  <si>
    <t xml:space="preserve">!A!B!C!D EFG + </t>
  </si>
  <si>
    <t>AB!C!D EF!G +</t>
  </si>
  <si>
    <t>ABCD E!FG +</t>
  </si>
  <si>
    <t>!ABCD EFG +</t>
  </si>
  <si>
    <t>AB!CD EG +</t>
  </si>
  <si>
    <t>A!CD EFG</t>
  </si>
  <si>
    <t>Logic Simplifyer</t>
  </si>
  <si>
    <t>BA</t>
  </si>
  <si>
    <t>DC</t>
  </si>
  <si>
    <t>!A!D</t>
  </si>
  <si>
    <t>!A!B</t>
  </si>
  <si>
    <t>OR</t>
  </si>
  <si>
    <t>K-Map for B</t>
  </si>
  <si>
    <t>B =</t>
  </si>
  <si>
    <t>AB!D</t>
  </si>
  <si>
    <t>11X0</t>
  </si>
  <si>
    <t>K-Map for C</t>
  </si>
  <si>
    <t>C =</t>
  </si>
  <si>
    <t>K-Map for D</t>
  </si>
  <si>
    <t>D =</t>
  </si>
  <si>
    <t>!A!B!C!D</t>
  </si>
  <si>
    <t>!A!CD</t>
  </si>
  <si>
    <t>or</t>
  </si>
  <si>
    <t>!A!BC</t>
  </si>
  <si>
    <t>BC</t>
  </si>
  <si>
    <t>AC</t>
  </si>
  <si>
    <t>!AD</t>
  </si>
  <si>
    <t>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</si>
</sst>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 tint="-4.9989318521683403E-2"/>
      <name val="Consolas"/>
      <family val="3"/>
    </font>
    <font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2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2" tint="-0.249977111117893"/>
        <bgColor indexed="64"/>
      </patternFill>
    </fill>
  </fills>
  <borders count="2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74">
    <xf numFmtId="0" fontId="0" fillId="0" borderId="0" xfId="0"/>
    <xf numFmtId="0" fontId="0" fillId="0" borderId="0" xfId="0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Alignment="1">
      <alignment horizontal="left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2" borderId="0" xfId="0" applyFill="1" applyAlignment="1">
      <alignment horizontal="center"/>
    </xf>
    <xf numFmtId="49" fontId="0" fillId="0" borderId="0" xfId="0" applyNumberFormat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3" borderId="14" xfId="0" applyFill="1" applyBorder="1" applyAlignment="1">
      <alignment horizontal="center"/>
    </xf>
    <xf numFmtId="0" fontId="0" fillId="3" borderId="18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1" fillId="0" borderId="0" xfId="0" applyFont="1" applyAlignment="1">
      <alignment horizontal="left"/>
    </xf>
    <xf numFmtId="0" fontId="0" fillId="0" borderId="14" xfId="0" applyFill="1" applyBorder="1" applyAlignment="1">
      <alignment horizontal="center"/>
    </xf>
    <xf numFmtId="0" fontId="0" fillId="0" borderId="8" xfId="0" applyFill="1" applyBorder="1" applyAlignment="1">
      <alignment horizontal="center"/>
    </xf>
    <xf numFmtId="0" fontId="0" fillId="0" borderId="9" xfId="0" applyFill="1" applyBorder="1" applyAlignment="1">
      <alignment horizontal="center"/>
    </xf>
    <xf numFmtId="0" fontId="0" fillId="0" borderId="7" xfId="0" applyFill="1" applyBorder="1" applyAlignment="1">
      <alignment horizontal="center"/>
    </xf>
    <xf numFmtId="0" fontId="0" fillId="0" borderId="6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0" borderId="8" xfId="0" applyBorder="1" applyAlignment="1"/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19" xfId="0" applyBorder="1" applyAlignment="1">
      <alignment horizontal="left"/>
    </xf>
    <xf numFmtId="0" fontId="0" fillId="2" borderId="7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0" fontId="0" fillId="2" borderId="17" xfId="0" applyFill="1" applyBorder="1" applyAlignment="1">
      <alignment horizontal="center"/>
    </xf>
    <xf numFmtId="49" fontId="2" fillId="4" borderId="0" xfId="0" applyNumberFormat="1" applyFont="1" applyFill="1" applyAlignment="1">
      <alignment horizontal="center"/>
    </xf>
    <xf numFmtId="1" fontId="0" fillId="0" borderId="14" xfId="0" applyNumberFormat="1" applyBorder="1" applyAlignment="1">
      <alignment horizontal="center"/>
    </xf>
    <xf numFmtId="1" fontId="0" fillId="0" borderId="8" xfId="0" applyNumberFormat="1" applyBorder="1" applyAlignment="1">
      <alignment horizontal="center"/>
    </xf>
    <xf numFmtId="1" fontId="0" fillId="0" borderId="19" xfId="0" applyNumberFormat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1" fontId="0" fillId="0" borderId="20" xfId="0" applyNumberFormat="1" applyBorder="1" applyAlignment="1">
      <alignment horizontal="center"/>
    </xf>
    <xf numFmtId="1" fontId="0" fillId="0" borderId="7" xfId="0" applyNumberFormat="1" applyBorder="1" applyAlignment="1">
      <alignment horizontal="center"/>
    </xf>
    <xf numFmtId="1" fontId="0" fillId="0" borderId="6" xfId="0" applyNumberFormat="1" applyBorder="1" applyAlignment="1">
      <alignment horizontal="center"/>
    </xf>
    <xf numFmtId="1" fontId="0" fillId="0" borderId="18" xfId="0" applyNumberFormat="1" applyBorder="1" applyAlignment="1">
      <alignment horizontal="center"/>
    </xf>
    <xf numFmtId="1" fontId="0" fillId="3" borderId="0" xfId="0" applyNumberFormat="1" applyFill="1" applyBorder="1" applyAlignment="1">
      <alignment horizontal="center"/>
    </xf>
    <xf numFmtId="1" fontId="0" fillId="3" borderId="8" xfId="0" applyNumberFormat="1" applyFill="1" applyBorder="1" applyAlignment="1">
      <alignment horizontal="center"/>
    </xf>
    <xf numFmtId="0" fontId="0" fillId="0" borderId="0" xfId="0" applyAlignment="1"/>
    <xf numFmtId="0" fontId="0" fillId="0" borderId="21" xfId="0" applyBorder="1" applyAlignment="1">
      <alignment horizontal="center"/>
    </xf>
    <xf numFmtId="0" fontId="0" fillId="2" borderId="22" xfId="0" applyFill="1" applyBorder="1" applyAlignment="1">
      <alignment horizontal="center"/>
    </xf>
    <xf numFmtId="1" fontId="0" fillId="3" borderId="19" xfId="0" applyNumberFormat="1" applyFill="1" applyBorder="1" applyAlignment="1">
      <alignment horizontal="center"/>
    </xf>
    <xf numFmtId="1" fontId="0" fillId="3" borderId="14" xfId="0" applyNumberFormat="1" applyFill="1" applyBorder="1" applyAlignment="1">
      <alignment horizontal="center"/>
    </xf>
    <xf numFmtId="1" fontId="3" fillId="0" borderId="14" xfId="0" applyNumberFormat="1" applyFont="1" applyFill="1" applyBorder="1" applyAlignment="1">
      <alignment horizontal="center"/>
    </xf>
    <xf numFmtId="1" fontId="3" fillId="0" borderId="8" xfId="0" applyNumberFormat="1" applyFont="1" applyFill="1" applyBorder="1" applyAlignment="1">
      <alignment horizontal="center"/>
    </xf>
    <xf numFmtId="1" fontId="3" fillId="0" borderId="19" xfId="0" applyNumberFormat="1" applyFont="1" applyFill="1" applyBorder="1" applyAlignment="1">
      <alignment horizontal="center"/>
    </xf>
    <xf numFmtId="1" fontId="3" fillId="0" borderId="0" xfId="0" applyNumberFormat="1" applyFont="1" applyFill="1" applyBorder="1" applyAlignment="1">
      <alignment horizontal="center"/>
    </xf>
    <xf numFmtId="1" fontId="3" fillId="3" borderId="8" xfId="0" applyNumberFormat="1" applyFont="1" applyFill="1" applyBorder="1" applyAlignment="1">
      <alignment horizontal="center"/>
    </xf>
    <xf numFmtId="1" fontId="3" fillId="3" borderId="0" xfId="0" applyNumberFormat="1" applyFont="1" applyFill="1" applyBorder="1" applyAlignment="1">
      <alignment horizontal="center"/>
    </xf>
    <xf numFmtId="1" fontId="3" fillId="3" borderId="19" xfId="0" applyNumberFormat="1" applyFont="1" applyFill="1" applyBorder="1" applyAlignment="1">
      <alignment horizontal="center"/>
    </xf>
    <xf numFmtId="1" fontId="3" fillId="3" borderId="14" xfId="0" applyNumberFormat="1" applyFont="1" applyFill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5" xfId="0" applyBorder="1" applyAlignment="1">
      <alignment horizontal="center"/>
    </xf>
    <xf numFmtId="1" fontId="0" fillId="5" borderId="8" xfId="0" applyNumberFormat="1" applyFill="1" applyBorder="1" applyAlignment="1">
      <alignment horizontal="center"/>
    </xf>
    <xf numFmtId="1" fontId="0" fillId="5" borderId="0" xfId="0" applyNumberFormat="1" applyFill="1" applyBorder="1" applyAlignment="1">
      <alignment horizontal="center"/>
    </xf>
    <xf numFmtId="0" fontId="0" fillId="0" borderId="0" xfId="0" applyAlignment="1">
      <alignment horizontal="right"/>
    </xf>
    <xf numFmtId="1" fontId="3" fillId="5" borderId="0" xfId="0" applyNumberFormat="1" applyFont="1" applyFill="1" applyBorder="1" applyAlignment="1">
      <alignment horizontal="center"/>
    </xf>
    <xf numFmtId="1" fontId="3" fillId="5" borderId="8" xfId="0" applyNumberFormat="1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4:AM64"/>
  <sheetViews>
    <sheetView tabSelected="1" topLeftCell="A12" workbookViewId="0">
      <selection activeCell="T67" sqref="T67:U67"/>
    </sheetView>
  </sheetViews>
  <sheetFormatPr defaultRowHeight="15" x14ac:dyDescent="0.25"/>
  <cols>
    <col min="1" max="38" width="9.140625" style="1"/>
    <col min="39" max="39" width="15.140625" style="1" bestFit="1" customWidth="1"/>
    <col min="40" max="16384" width="9.140625" style="1"/>
  </cols>
  <sheetData>
    <row r="4" spans="3:33" ht="15.75" thickBot="1" x14ac:dyDescent="0.3">
      <c r="C4" t="s">
        <v>10</v>
      </c>
    </row>
    <row r="5" spans="3:33" ht="15.75" thickBot="1" x14ac:dyDescent="0.3">
      <c r="X5" s="4" t="s">
        <v>0</v>
      </c>
      <c r="Y5" s="3" t="s">
        <v>1</v>
      </c>
      <c r="Z5" s="3" t="s">
        <v>2</v>
      </c>
      <c r="AA5" s="4" t="s">
        <v>3</v>
      </c>
      <c r="AB5" s="3" t="s">
        <v>4</v>
      </c>
      <c r="AC5" s="4" t="s">
        <v>5</v>
      </c>
      <c r="AD5" s="3" t="s">
        <v>6</v>
      </c>
      <c r="AE5" s="4" t="s">
        <v>7</v>
      </c>
      <c r="AG5" s="7" t="s">
        <v>8</v>
      </c>
    </row>
    <row r="6" spans="3:33" x14ac:dyDescent="0.25">
      <c r="C6" s="10" t="s">
        <v>9</v>
      </c>
      <c r="I6" s="10" t="s">
        <v>14</v>
      </c>
      <c r="X6" s="5">
        <v>0</v>
      </c>
      <c r="Y6" s="9">
        <f>AG6</f>
        <v>0</v>
      </c>
      <c r="Z6" s="9">
        <v>0</v>
      </c>
      <c r="AA6" s="5">
        <v>1</v>
      </c>
      <c r="AB6" s="9">
        <v>0</v>
      </c>
      <c r="AC6" s="5">
        <v>1</v>
      </c>
      <c r="AD6" s="9">
        <v>1</v>
      </c>
      <c r="AE6" s="5">
        <v>1</v>
      </c>
      <c r="AG6" s="1">
        <f>doXOR3(AA6,AC6,AE6)</f>
        <v>0</v>
      </c>
    </row>
    <row r="7" spans="3:33" x14ac:dyDescent="0.25">
      <c r="X7" s="5">
        <v>1</v>
      </c>
      <c r="Y7" s="9">
        <f>AG7</f>
        <v>1</v>
      </c>
      <c r="Z7" s="9">
        <f>Y6</f>
        <v>0</v>
      </c>
      <c r="AA7" s="5">
        <f>Z6</f>
        <v>0</v>
      </c>
      <c r="AB7" s="9">
        <f t="shared" ref="AB7:AE11" si="0">AA6</f>
        <v>1</v>
      </c>
      <c r="AC7" s="5">
        <f t="shared" si="0"/>
        <v>0</v>
      </c>
      <c r="AD7" s="9">
        <f t="shared" si="0"/>
        <v>1</v>
      </c>
      <c r="AE7" s="5">
        <f t="shared" si="0"/>
        <v>1</v>
      </c>
      <c r="AG7" s="1">
        <f t="shared" ref="AG7:AG11" si="1">doXOR3(AA7,AC7,AE7)</f>
        <v>1</v>
      </c>
    </row>
    <row r="8" spans="3:33" ht="15.75" thickBot="1" x14ac:dyDescent="0.3">
      <c r="X8" s="5">
        <v>2</v>
      </c>
      <c r="Y8" s="9">
        <f t="shared" ref="Y8:Y11" si="2">AG8</f>
        <v>0</v>
      </c>
      <c r="Z8" s="9">
        <f t="shared" ref="Z8:AA11" si="3">Y7</f>
        <v>1</v>
      </c>
      <c r="AA8" s="5">
        <f t="shared" si="3"/>
        <v>0</v>
      </c>
      <c r="AB8" s="9">
        <f t="shared" si="0"/>
        <v>0</v>
      </c>
      <c r="AC8" s="5">
        <f t="shared" si="0"/>
        <v>1</v>
      </c>
      <c r="AD8" s="9">
        <f t="shared" si="0"/>
        <v>0</v>
      </c>
      <c r="AE8" s="5">
        <f t="shared" si="0"/>
        <v>1</v>
      </c>
      <c r="AG8" s="1">
        <f t="shared" si="1"/>
        <v>0</v>
      </c>
    </row>
    <row r="9" spans="3:33" ht="15.75" thickBot="1" x14ac:dyDescent="0.3">
      <c r="C9" s="2" t="s">
        <v>11</v>
      </c>
      <c r="D9" s="3" t="s">
        <v>19</v>
      </c>
      <c r="E9" s="3" t="s">
        <v>18</v>
      </c>
      <c r="I9" s="2" t="s">
        <v>11</v>
      </c>
      <c r="J9" s="3" t="s">
        <v>19</v>
      </c>
      <c r="K9" s="3" t="s">
        <v>18</v>
      </c>
      <c r="X9" s="5">
        <v>3</v>
      </c>
      <c r="Y9" s="9">
        <f t="shared" si="2"/>
        <v>1</v>
      </c>
      <c r="Z9" s="9">
        <f t="shared" si="3"/>
        <v>0</v>
      </c>
      <c r="AA9" s="5">
        <f t="shared" si="3"/>
        <v>1</v>
      </c>
      <c r="AB9" s="9">
        <f t="shared" si="0"/>
        <v>0</v>
      </c>
      <c r="AC9" s="5">
        <f t="shared" si="0"/>
        <v>0</v>
      </c>
      <c r="AD9" s="9">
        <f t="shared" si="0"/>
        <v>1</v>
      </c>
      <c r="AE9" s="5">
        <f t="shared" si="0"/>
        <v>0</v>
      </c>
      <c r="AG9" s="1">
        <f t="shared" si="1"/>
        <v>1</v>
      </c>
    </row>
    <row r="10" spans="3:33" x14ac:dyDescent="0.25">
      <c r="C10" s="1">
        <v>0</v>
      </c>
      <c r="D10" s="1">
        <v>0</v>
      </c>
      <c r="E10" s="12">
        <v>0</v>
      </c>
      <c r="F10" s="1" t="s">
        <v>12</v>
      </c>
      <c r="I10" s="1">
        <v>0</v>
      </c>
      <c r="J10" s="1">
        <v>0</v>
      </c>
      <c r="K10" s="12">
        <v>0</v>
      </c>
      <c r="L10" s="1" t="s">
        <v>15</v>
      </c>
      <c r="X10" s="5">
        <v>4</v>
      </c>
      <c r="Y10" s="9">
        <f t="shared" si="2"/>
        <v>1</v>
      </c>
      <c r="Z10" s="9">
        <f t="shared" si="3"/>
        <v>1</v>
      </c>
      <c r="AA10" s="5">
        <f t="shared" si="3"/>
        <v>0</v>
      </c>
      <c r="AB10" s="9">
        <f t="shared" si="0"/>
        <v>1</v>
      </c>
      <c r="AC10" s="5">
        <f t="shared" si="0"/>
        <v>0</v>
      </c>
      <c r="AD10" s="9">
        <f t="shared" si="0"/>
        <v>0</v>
      </c>
      <c r="AE10" s="5">
        <f t="shared" si="0"/>
        <v>1</v>
      </c>
      <c r="AG10" s="1">
        <f t="shared" si="1"/>
        <v>1</v>
      </c>
    </row>
    <row r="11" spans="3:33" ht="15.75" thickBot="1" x14ac:dyDescent="0.3">
      <c r="C11" s="1">
        <v>0</v>
      </c>
      <c r="D11" s="1">
        <v>1</v>
      </c>
      <c r="E11" s="12">
        <v>0</v>
      </c>
      <c r="F11" s="1" t="s">
        <v>12</v>
      </c>
      <c r="I11" s="1">
        <v>0</v>
      </c>
      <c r="J11" s="1">
        <v>1</v>
      </c>
      <c r="K11" s="12">
        <v>1</v>
      </c>
      <c r="L11" s="1" t="s">
        <v>15</v>
      </c>
      <c r="X11" s="6">
        <v>5</v>
      </c>
      <c r="Y11" s="9">
        <f t="shared" si="2"/>
        <v>0</v>
      </c>
      <c r="Z11" s="9">
        <f t="shared" si="3"/>
        <v>1</v>
      </c>
      <c r="AA11" s="6">
        <f t="shared" si="3"/>
        <v>1</v>
      </c>
      <c r="AB11" s="9">
        <f t="shared" si="0"/>
        <v>0</v>
      </c>
      <c r="AC11" s="6">
        <f t="shared" si="0"/>
        <v>1</v>
      </c>
      <c r="AD11" s="9">
        <f t="shared" si="0"/>
        <v>0</v>
      </c>
      <c r="AE11" s="6">
        <f t="shared" si="0"/>
        <v>0</v>
      </c>
      <c r="AG11" s="1">
        <f t="shared" si="1"/>
        <v>0</v>
      </c>
    </row>
    <row r="12" spans="3:33" x14ac:dyDescent="0.25">
      <c r="C12" s="1">
        <v>1</v>
      </c>
      <c r="D12" s="1">
        <v>0</v>
      </c>
      <c r="E12" s="12">
        <v>1</v>
      </c>
      <c r="F12" s="1" t="s">
        <v>13</v>
      </c>
      <c r="I12" s="1">
        <v>1</v>
      </c>
      <c r="J12" s="1">
        <v>0</v>
      </c>
      <c r="K12" s="12">
        <v>0</v>
      </c>
      <c r="L12" s="1" t="s">
        <v>16</v>
      </c>
    </row>
    <row r="13" spans="3:33" x14ac:dyDescent="0.25">
      <c r="C13" s="1">
        <v>1</v>
      </c>
      <c r="D13" s="1">
        <v>1</v>
      </c>
      <c r="E13" s="12">
        <v>1</v>
      </c>
      <c r="F13" s="1" t="s">
        <v>13</v>
      </c>
      <c r="I13" s="1">
        <v>1</v>
      </c>
      <c r="J13" s="1">
        <v>1</v>
      </c>
      <c r="K13" s="12">
        <v>1</v>
      </c>
      <c r="L13" s="1" t="s">
        <v>16</v>
      </c>
    </row>
    <row r="16" spans="3:33" ht="15.75" thickBot="1" x14ac:dyDescent="0.3">
      <c r="C16" t="s">
        <v>17</v>
      </c>
      <c r="V16" s="10" t="s">
        <v>36</v>
      </c>
    </row>
    <row r="17" spans="1:39" ht="15.75" thickBot="1" x14ac:dyDescent="0.3">
      <c r="C17" s="2" t="s">
        <v>19</v>
      </c>
      <c r="D17" s="3" t="s">
        <v>18</v>
      </c>
      <c r="E17" s="11" t="s">
        <v>11</v>
      </c>
      <c r="AM17" s="1" t="s">
        <v>105</v>
      </c>
    </row>
    <row r="18" spans="1:39" x14ac:dyDescent="0.25">
      <c r="C18" s="1">
        <v>0</v>
      </c>
      <c r="D18" s="1">
        <v>0</v>
      </c>
      <c r="E18" s="12">
        <v>0</v>
      </c>
      <c r="V18" s="25" t="s">
        <v>88</v>
      </c>
    </row>
    <row r="19" spans="1:39" x14ac:dyDescent="0.25">
      <c r="C19" s="1">
        <v>0</v>
      </c>
      <c r="D19" s="1">
        <v>1</v>
      </c>
      <c r="E19" s="12">
        <v>1</v>
      </c>
      <c r="W19" s="1" t="s">
        <v>107</v>
      </c>
    </row>
    <row r="20" spans="1:39" x14ac:dyDescent="0.25">
      <c r="C20" s="1">
        <v>1</v>
      </c>
      <c r="D20" s="1">
        <v>0</v>
      </c>
      <c r="E20" s="12">
        <v>0</v>
      </c>
      <c r="W20" s="40" t="s">
        <v>51</v>
      </c>
      <c r="X20" s="40" t="s">
        <v>65</v>
      </c>
      <c r="Y20" s="40" t="s">
        <v>67</v>
      </c>
      <c r="Z20" s="40" t="s">
        <v>79</v>
      </c>
    </row>
    <row r="21" spans="1:39" ht="15.75" thickBot="1" x14ac:dyDescent="0.3">
      <c r="C21" s="1">
        <v>1</v>
      </c>
      <c r="D21" s="1">
        <v>1</v>
      </c>
      <c r="E21" s="12">
        <v>1</v>
      </c>
      <c r="V21" s="18" t="s">
        <v>106</v>
      </c>
      <c r="W21" s="40" t="s">
        <v>28</v>
      </c>
      <c r="X21" s="40" t="s">
        <v>29</v>
      </c>
      <c r="Y21" s="40" t="s">
        <v>30</v>
      </c>
      <c r="Z21" s="40" t="s">
        <v>31</v>
      </c>
    </row>
    <row r="22" spans="1:39" x14ac:dyDescent="0.25">
      <c r="U22" s="40" t="s">
        <v>51</v>
      </c>
      <c r="V22" s="40" t="s">
        <v>28</v>
      </c>
      <c r="W22" s="55" t="str">
        <f>U22</f>
        <v>0</v>
      </c>
      <c r="X22" s="50">
        <f>$W$22+$X$20</f>
        <v>4</v>
      </c>
      <c r="Y22" s="69">
        <f>W22+$Y$20</f>
        <v>12</v>
      </c>
      <c r="Z22" s="50">
        <f>W22+$Z$20</f>
        <v>8</v>
      </c>
    </row>
    <row r="23" spans="1:39" x14ac:dyDescent="0.25">
      <c r="U23" s="40" t="s">
        <v>53</v>
      </c>
      <c r="V23" s="40" t="s">
        <v>29</v>
      </c>
      <c r="W23" s="43" t="str">
        <f t="shared" ref="W23:W25" si="4">U23</f>
        <v>1</v>
      </c>
      <c r="X23" s="44">
        <f>W23+$X$20</f>
        <v>5</v>
      </c>
      <c r="Y23" s="70">
        <f>W23+$Y$20</f>
        <v>13</v>
      </c>
      <c r="Z23" s="44">
        <f t="shared" ref="Z23:Z25" si="5">W23+$Z$20</f>
        <v>9</v>
      </c>
    </row>
    <row r="24" spans="1:39" x14ac:dyDescent="0.25">
      <c r="U24" s="40" t="s">
        <v>55</v>
      </c>
      <c r="V24" s="40" t="s">
        <v>30</v>
      </c>
      <c r="W24" s="43" t="str">
        <f t="shared" si="4"/>
        <v>3</v>
      </c>
      <c r="X24" s="44">
        <f>W24+$X$20</f>
        <v>7</v>
      </c>
      <c r="Y24" s="70">
        <f>W24+$Y$20</f>
        <v>15</v>
      </c>
      <c r="Z24" s="70">
        <f t="shared" si="5"/>
        <v>11</v>
      </c>
    </row>
    <row r="25" spans="1:39" x14ac:dyDescent="0.25">
      <c r="C25" s="10" t="s">
        <v>20</v>
      </c>
      <c r="U25" s="40" t="s">
        <v>57</v>
      </c>
      <c r="V25" s="40" t="s">
        <v>31</v>
      </c>
      <c r="W25" s="54" t="str">
        <f t="shared" si="4"/>
        <v>2</v>
      </c>
      <c r="X25" s="49">
        <f>W25+$X$20</f>
        <v>6</v>
      </c>
      <c r="Y25" s="70">
        <f>W25+$Y$20</f>
        <v>14</v>
      </c>
      <c r="Z25" s="70">
        <f t="shared" si="5"/>
        <v>10</v>
      </c>
    </row>
    <row r="26" spans="1:39" ht="15.75" thickBot="1" x14ac:dyDescent="0.3">
      <c r="Z26" s="44"/>
    </row>
    <row r="27" spans="1:39" x14ac:dyDescent="0.25">
      <c r="C27" s="64" t="s">
        <v>21</v>
      </c>
      <c r="D27" s="65"/>
      <c r="E27" s="65"/>
      <c r="F27" s="65"/>
      <c r="G27" s="32"/>
      <c r="H27" s="64" t="s">
        <v>22</v>
      </c>
      <c r="I27" s="65"/>
      <c r="J27" s="65"/>
      <c r="K27" s="66"/>
      <c r="L27" s="32"/>
      <c r="M27" s="64" t="s">
        <v>23</v>
      </c>
      <c r="N27" s="65"/>
      <c r="O27" s="65"/>
      <c r="P27" s="66"/>
      <c r="X27" s="71"/>
      <c r="Z27" s="44"/>
    </row>
    <row r="28" spans="1:39" ht="15.75" thickBot="1" x14ac:dyDescent="0.3">
      <c r="C28" s="14" t="s">
        <v>11</v>
      </c>
      <c r="D28" s="8" t="s">
        <v>45</v>
      </c>
      <c r="E28" s="14" t="s">
        <v>44</v>
      </c>
      <c r="F28" s="17" t="s">
        <v>43</v>
      </c>
      <c r="H28" s="8" t="s">
        <v>11</v>
      </c>
      <c r="I28" s="8" t="s">
        <v>45</v>
      </c>
      <c r="J28" s="14" t="s">
        <v>44</v>
      </c>
      <c r="K28" s="17" t="s">
        <v>43</v>
      </c>
      <c r="L28" s="14"/>
      <c r="M28" s="8" t="s">
        <v>11</v>
      </c>
      <c r="N28" s="8" t="s">
        <v>45</v>
      </c>
      <c r="O28" s="14" t="s">
        <v>44</v>
      </c>
      <c r="P28" s="17" t="s">
        <v>43</v>
      </c>
      <c r="V28" s="1" t="s">
        <v>98</v>
      </c>
      <c r="W28" s="1" t="s">
        <v>108</v>
      </c>
      <c r="X28" s="1" t="s">
        <v>110</v>
      </c>
      <c r="Y28" s="1" t="s">
        <v>109</v>
      </c>
      <c r="Z28" s="44"/>
    </row>
    <row r="29" spans="1:39" x14ac:dyDescent="0.25">
      <c r="A29" s="1">
        <v>9</v>
      </c>
      <c r="B29" s="1">
        <f>F29+(E29*2)+(D29*2^2)+(C29*2^3)</f>
        <v>9</v>
      </c>
      <c r="C29" s="9">
        <v>1</v>
      </c>
      <c r="D29" s="9">
        <v>0</v>
      </c>
      <c r="E29" s="9">
        <v>0</v>
      </c>
      <c r="F29" s="34">
        <v>1</v>
      </c>
      <c r="H29" s="52">
        <f>C30</f>
        <v>1</v>
      </c>
      <c r="I29" s="13">
        <f>D30</f>
        <v>0</v>
      </c>
      <c r="J29" s="13">
        <f>E30</f>
        <v>0</v>
      </c>
      <c r="K29" s="34">
        <f>F30</f>
        <v>0</v>
      </c>
      <c r="L29" s="9"/>
      <c r="M29" s="33">
        <f>H29</f>
        <v>1</v>
      </c>
      <c r="N29" s="33">
        <f t="shared" ref="N29:P29" si="6">I29</f>
        <v>0</v>
      </c>
      <c r="O29" s="33">
        <f t="shared" si="6"/>
        <v>0</v>
      </c>
      <c r="P29" s="33">
        <f t="shared" si="6"/>
        <v>0</v>
      </c>
      <c r="Q29" s="33"/>
      <c r="R29" s="1">
        <f t="shared" ref="R29:R38" si="7">B29</f>
        <v>9</v>
      </c>
      <c r="Z29" s="44"/>
    </row>
    <row r="30" spans="1:39" x14ac:dyDescent="0.25">
      <c r="A30" s="1">
        <v>8</v>
      </c>
      <c r="B30" s="1">
        <f t="shared" ref="B30:B39" si="8">F30+(E30*2)+(D30*2^2)+(C30*2^3)</f>
        <v>8</v>
      </c>
      <c r="C30" s="9">
        <v>1</v>
      </c>
      <c r="D30" s="9">
        <v>0</v>
      </c>
      <c r="E30" s="9">
        <v>0</v>
      </c>
      <c r="F30" s="34">
        <v>0</v>
      </c>
      <c r="H30" s="52">
        <f t="shared" ref="H30:H38" si="9">C31</f>
        <v>0</v>
      </c>
      <c r="I30" s="13">
        <f t="shared" ref="I30:I38" si="10">D31</f>
        <v>1</v>
      </c>
      <c r="J30" s="13">
        <f t="shared" ref="J30:J38" si="11">E31</f>
        <v>1</v>
      </c>
      <c r="K30" s="34">
        <f t="shared" ref="K30:K38" si="12">F31</f>
        <v>1</v>
      </c>
      <c r="L30" s="9"/>
      <c r="M30" s="33">
        <f t="shared" ref="M30:M38" si="13">H30</f>
        <v>0</v>
      </c>
      <c r="N30" s="33">
        <f t="shared" ref="N30:N38" si="14">I30</f>
        <v>1</v>
      </c>
      <c r="O30" s="33">
        <f t="shared" ref="O30:O38" si="15">J30</f>
        <v>1</v>
      </c>
      <c r="P30" s="33">
        <f t="shared" ref="P30:P38" si="16">K30</f>
        <v>1</v>
      </c>
      <c r="Q30" s="33"/>
      <c r="R30" s="1">
        <f t="shared" si="7"/>
        <v>8</v>
      </c>
      <c r="V30" s="25" t="s">
        <v>111</v>
      </c>
    </row>
    <row r="31" spans="1:39" x14ac:dyDescent="0.25">
      <c r="A31" s="1">
        <v>7</v>
      </c>
      <c r="B31" s="1">
        <f t="shared" si="8"/>
        <v>7</v>
      </c>
      <c r="C31" s="9">
        <v>0</v>
      </c>
      <c r="D31" s="9">
        <v>1</v>
      </c>
      <c r="E31" s="9">
        <v>1</v>
      </c>
      <c r="F31" s="34">
        <v>1</v>
      </c>
      <c r="H31" s="52">
        <f t="shared" si="9"/>
        <v>0</v>
      </c>
      <c r="I31" s="13">
        <f t="shared" si="10"/>
        <v>1</v>
      </c>
      <c r="J31" s="13">
        <f t="shared" si="11"/>
        <v>1</v>
      </c>
      <c r="K31" s="34">
        <f t="shared" si="12"/>
        <v>0</v>
      </c>
      <c r="L31" s="9"/>
      <c r="M31" s="33">
        <f t="shared" si="13"/>
        <v>0</v>
      </c>
      <c r="N31" s="33">
        <f t="shared" si="14"/>
        <v>1</v>
      </c>
      <c r="O31" s="33">
        <f t="shared" si="15"/>
        <v>1</v>
      </c>
      <c r="P31" s="33">
        <f t="shared" si="16"/>
        <v>0</v>
      </c>
      <c r="Q31" s="33"/>
      <c r="R31" s="1">
        <f t="shared" si="7"/>
        <v>7</v>
      </c>
      <c r="W31" s="1" t="s">
        <v>107</v>
      </c>
    </row>
    <row r="32" spans="1:39" x14ac:dyDescent="0.25">
      <c r="A32" s="1">
        <v>6</v>
      </c>
      <c r="B32" s="1">
        <f t="shared" si="8"/>
        <v>6</v>
      </c>
      <c r="C32" s="9">
        <v>0</v>
      </c>
      <c r="D32" s="9">
        <v>1</v>
      </c>
      <c r="E32" s="9">
        <v>1</v>
      </c>
      <c r="F32" s="34">
        <v>0</v>
      </c>
      <c r="H32" s="52">
        <f t="shared" si="9"/>
        <v>0</v>
      </c>
      <c r="I32" s="13">
        <f t="shared" si="10"/>
        <v>1</v>
      </c>
      <c r="J32" s="13">
        <f t="shared" si="11"/>
        <v>0</v>
      </c>
      <c r="K32" s="34">
        <f t="shared" si="12"/>
        <v>1</v>
      </c>
      <c r="L32" s="9"/>
      <c r="M32" s="33">
        <f t="shared" si="13"/>
        <v>0</v>
      </c>
      <c r="N32" s="33">
        <f t="shared" si="14"/>
        <v>1</v>
      </c>
      <c r="O32" s="33">
        <f t="shared" si="15"/>
        <v>0</v>
      </c>
      <c r="P32" s="33">
        <f t="shared" si="16"/>
        <v>1</v>
      </c>
      <c r="Q32" s="33"/>
      <c r="R32" s="1">
        <f t="shared" si="7"/>
        <v>6</v>
      </c>
      <c r="W32" s="40" t="s">
        <v>51</v>
      </c>
      <c r="X32" s="40" t="s">
        <v>65</v>
      </c>
      <c r="Y32" s="40" t="s">
        <v>67</v>
      </c>
      <c r="Z32" s="40" t="s">
        <v>79</v>
      </c>
      <c r="AB32" s="44"/>
      <c r="AC32" s="44"/>
    </row>
    <row r="33" spans="1:28" ht="15.75" thickBot="1" x14ac:dyDescent="0.3">
      <c r="A33" s="1">
        <v>5</v>
      </c>
      <c r="B33" s="1">
        <f t="shared" si="8"/>
        <v>5</v>
      </c>
      <c r="C33" s="9">
        <v>0</v>
      </c>
      <c r="D33" s="9">
        <v>1</v>
      </c>
      <c r="E33" s="9">
        <v>0</v>
      </c>
      <c r="F33" s="34">
        <v>1</v>
      </c>
      <c r="H33" s="52">
        <f t="shared" si="9"/>
        <v>0</v>
      </c>
      <c r="I33" s="13">
        <f t="shared" si="10"/>
        <v>1</v>
      </c>
      <c r="J33" s="13">
        <f t="shared" si="11"/>
        <v>0</v>
      </c>
      <c r="K33" s="34">
        <f t="shared" si="12"/>
        <v>0</v>
      </c>
      <c r="L33" s="9"/>
      <c r="M33" s="33">
        <f t="shared" si="13"/>
        <v>0</v>
      </c>
      <c r="N33" s="33">
        <f t="shared" si="14"/>
        <v>1</v>
      </c>
      <c r="O33" s="33">
        <f t="shared" si="15"/>
        <v>0</v>
      </c>
      <c r="P33" s="33">
        <f t="shared" si="16"/>
        <v>0</v>
      </c>
      <c r="Q33" s="33"/>
      <c r="R33" s="1">
        <f t="shared" si="7"/>
        <v>5</v>
      </c>
      <c r="V33" s="18" t="s">
        <v>106</v>
      </c>
      <c r="W33" s="40" t="s">
        <v>28</v>
      </c>
      <c r="X33" s="40" t="s">
        <v>29</v>
      </c>
      <c r="Y33" s="40" t="s">
        <v>30</v>
      </c>
      <c r="Z33" s="40" t="s">
        <v>31</v>
      </c>
    </row>
    <row r="34" spans="1:28" x14ac:dyDescent="0.25">
      <c r="A34" s="1">
        <v>4</v>
      </c>
      <c r="B34" s="1">
        <f t="shared" si="8"/>
        <v>4</v>
      </c>
      <c r="C34" s="9">
        <v>0</v>
      </c>
      <c r="D34" s="9">
        <v>1</v>
      </c>
      <c r="E34" s="9">
        <v>0</v>
      </c>
      <c r="F34" s="34">
        <v>0</v>
      </c>
      <c r="H34" s="52">
        <f t="shared" si="9"/>
        <v>0</v>
      </c>
      <c r="I34" s="13">
        <f t="shared" si="10"/>
        <v>0</v>
      </c>
      <c r="J34" s="13">
        <f t="shared" si="11"/>
        <v>1</v>
      </c>
      <c r="K34" s="34">
        <f t="shared" si="12"/>
        <v>1</v>
      </c>
      <c r="L34" s="9"/>
      <c r="M34" s="33">
        <f t="shared" si="13"/>
        <v>0</v>
      </c>
      <c r="N34" s="33">
        <f t="shared" si="14"/>
        <v>0</v>
      </c>
      <c r="O34" s="33">
        <f t="shared" si="15"/>
        <v>1</v>
      </c>
      <c r="P34" s="33">
        <f t="shared" si="16"/>
        <v>1</v>
      </c>
      <c r="Q34" s="33"/>
      <c r="R34" s="1">
        <f t="shared" si="7"/>
        <v>4</v>
      </c>
      <c r="U34" s="40" t="s">
        <v>51</v>
      </c>
      <c r="V34" s="40" t="s">
        <v>28</v>
      </c>
      <c r="W34" s="56" t="str">
        <f>U34</f>
        <v>0</v>
      </c>
      <c r="X34" s="60">
        <f>$W$22+$X$20</f>
        <v>4</v>
      </c>
      <c r="Y34" s="73">
        <f>W34+$Y$20</f>
        <v>12</v>
      </c>
      <c r="Z34" s="60">
        <f>W34+$Z$20</f>
        <v>8</v>
      </c>
    </row>
    <row r="35" spans="1:28" x14ac:dyDescent="0.25">
      <c r="A35" s="1">
        <v>3</v>
      </c>
      <c r="B35" s="1">
        <f t="shared" si="8"/>
        <v>3</v>
      </c>
      <c r="C35" s="9">
        <v>0</v>
      </c>
      <c r="D35" s="9">
        <v>0</v>
      </c>
      <c r="E35" s="9">
        <v>1</v>
      </c>
      <c r="F35" s="34">
        <v>1</v>
      </c>
      <c r="H35" s="52">
        <f t="shared" si="9"/>
        <v>0</v>
      </c>
      <c r="I35" s="13">
        <f t="shared" si="10"/>
        <v>0</v>
      </c>
      <c r="J35" s="13">
        <f t="shared" si="11"/>
        <v>1</v>
      </c>
      <c r="K35" s="34">
        <f t="shared" si="12"/>
        <v>0</v>
      </c>
      <c r="L35" s="9"/>
      <c r="M35" s="33">
        <f t="shared" si="13"/>
        <v>0</v>
      </c>
      <c r="N35" s="33">
        <f t="shared" si="14"/>
        <v>0</v>
      </c>
      <c r="O35" s="33">
        <f t="shared" si="15"/>
        <v>1</v>
      </c>
      <c r="P35" s="33">
        <f t="shared" si="16"/>
        <v>0</v>
      </c>
      <c r="Q35" s="33"/>
      <c r="R35" s="1">
        <f t="shared" si="7"/>
        <v>3</v>
      </c>
      <c r="U35" s="40" t="s">
        <v>53</v>
      </c>
      <c r="V35" s="40" t="s">
        <v>29</v>
      </c>
      <c r="W35" s="58" t="str">
        <f t="shared" ref="W35:W37" si="17">U35</f>
        <v>1</v>
      </c>
      <c r="X35" s="59">
        <f>W35+$X$20</f>
        <v>5</v>
      </c>
      <c r="Y35" s="72">
        <f>W35+$Y$20</f>
        <v>13</v>
      </c>
      <c r="Z35" s="59">
        <f t="shared" ref="Z35:Z37" si="18">W35+$Z$20</f>
        <v>9</v>
      </c>
    </row>
    <row r="36" spans="1:28" x14ac:dyDescent="0.25">
      <c r="A36" s="1">
        <v>2</v>
      </c>
      <c r="B36" s="1">
        <f t="shared" si="8"/>
        <v>2</v>
      </c>
      <c r="C36" s="9">
        <v>0</v>
      </c>
      <c r="D36" s="9">
        <v>0</v>
      </c>
      <c r="E36" s="9">
        <v>1</v>
      </c>
      <c r="F36" s="34">
        <v>0</v>
      </c>
      <c r="H36" s="52">
        <f t="shared" si="9"/>
        <v>0</v>
      </c>
      <c r="I36" s="13">
        <f t="shared" si="10"/>
        <v>0</v>
      </c>
      <c r="J36" s="13">
        <f t="shared" si="11"/>
        <v>0</v>
      </c>
      <c r="K36" s="34">
        <f t="shared" si="12"/>
        <v>1</v>
      </c>
      <c r="L36" s="9"/>
      <c r="M36" s="33">
        <f t="shared" si="13"/>
        <v>0</v>
      </c>
      <c r="N36" s="33">
        <f t="shared" si="14"/>
        <v>0</v>
      </c>
      <c r="O36" s="33">
        <f t="shared" si="15"/>
        <v>0</v>
      </c>
      <c r="P36" s="33">
        <f t="shared" si="16"/>
        <v>1</v>
      </c>
      <c r="Q36" s="33"/>
      <c r="R36" s="1">
        <f t="shared" si="7"/>
        <v>2</v>
      </c>
      <c r="U36" s="40" t="s">
        <v>55</v>
      </c>
      <c r="V36" s="40" t="s">
        <v>30</v>
      </c>
      <c r="W36" s="62" t="str">
        <f t="shared" si="17"/>
        <v>3</v>
      </c>
      <c r="X36" s="61">
        <f>W36+$X$20</f>
        <v>7</v>
      </c>
      <c r="Y36" s="72">
        <f>W36+$Y$20</f>
        <v>15</v>
      </c>
      <c r="Z36" s="72">
        <f t="shared" si="18"/>
        <v>11</v>
      </c>
    </row>
    <row r="37" spans="1:28" x14ac:dyDescent="0.25">
      <c r="A37" s="1">
        <v>1</v>
      </c>
      <c r="B37" s="1">
        <f t="shared" si="8"/>
        <v>1</v>
      </c>
      <c r="C37" s="9">
        <v>0</v>
      </c>
      <c r="D37" s="9">
        <v>0</v>
      </c>
      <c r="E37" s="9">
        <v>0</v>
      </c>
      <c r="F37" s="34">
        <v>1</v>
      </c>
      <c r="H37" s="52">
        <f t="shared" si="9"/>
        <v>0</v>
      </c>
      <c r="I37" s="13">
        <f t="shared" si="10"/>
        <v>0</v>
      </c>
      <c r="J37" s="13">
        <f t="shared" si="11"/>
        <v>0</v>
      </c>
      <c r="K37" s="34">
        <f t="shared" si="12"/>
        <v>0</v>
      </c>
      <c r="L37" s="9"/>
      <c r="M37" s="33">
        <f t="shared" si="13"/>
        <v>0</v>
      </c>
      <c r="N37" s="33">
        <f t="shared" si="14"/>
        <v>0</v>
      </c>
      <c r="O37" s="33">
        <f t="shared" si="15"/>
        <v>0</v>
      </c>
      <c r="P37" s="33">
        <f t="shared" si="16"/>
        <v>0</v>
      </c>
      <c r="Q37" s="33"/>
      <c r="R37" s="1">
        <f t="shared" si="7"/>
        <v>1</v>
      </c>
      <c r="U37" s="40" t="s">
        <v>57</v>
      </c>
      <c r="V37" s="40" t="s">
        <v>31</v>
      </c>
      <c r="W37" s="58" t="str">
        <f t="shared" si="17"/>
        <v>2</v>
      </c>
      <c r="X37" s="59">
        <f>W37+$X$20</f>
        <v>6</v>
      </c>
      <c r="Y37" s="72">
        <f>W37+$Y$20</f>
        <v>14</v>
      </c>
      <c r="Z37" s="72">
        <f t="shared" si="18"/>
        <v>10</v>
      </c>
    </row>
    <row r="38" spans="1:28" x14ac:dyDescent="0.25">
      <c r="A38" s="1">
        <v>0</v>
      </c>
      <c r="B38" s="1">
        <f t="shared" si="8"/>
        <v>0</v>
      </c>
      <c r="C38" s="9">
        <v>0</v>
      </c>
      <c r="D38" s="9">
        <v>0</v>
      </c>
      <c r="E38" s="9">
        <v>0</v>
      </c>
      <c r="F38" s="34">
        <v>0</v>
      </c>
      <c r="H38" s="52">
        <f t="shared" si="9"/>
        <v>1</v>
      </c>
      <c r="I38" s="13">
        <f t="shared" si="10"/>
        <v>0</v>
      </c>
      <c r="J38" s="13">
        <f t="shared" si="11"/>
        <v>0</v>
      </c>
      <c r="K38" s="34">
        <f t="shared" si="12"/>
        <v>1</v>
      </c>
      <c r="L38" s="9"/>
      <c r="M38" s="33">
        <f t="shared" si="13"/>
        <v>1</v>
      </c>
      <c r="N38" s="33">
        <f t="shared" si="14"/>
        <v>0</v>
      </c>
      <c r="O38" s="33">
        <f t="shared" si="15"/>
        <v>0</v>
      </c>
      <c r="P38" s="33">
        <f t="shared" si="16"/>
        <v>1</v>
      </c>
      <c r="Q38" s="33"/>
      <c r="R38" s="1">
        <f t="shared" si="7"/>
        <v>0</v>
      </c>
      <c r="Z38" s="44"/>
    </row>
    <row r="39" spans="1:28" ht="15.75" thickBot="1" x14ac:dyDescent="0.3">
      <c r="A39" s="18">
        <v>9</v>
      </c>
      <c r="B39" s="1">
        <f t="shared" si="8"/>
        <v>9</v>
      </c>
      <c r="C39" s="37">
        <v>1</v>
      </c>
      <c r="D39" s="37">
        <v>0</v>
      </c>
      <c r="E39" s="37">
        <v>0</v>
      </c>
      <c r="F39" s="38">
        <v>1</v>
      </c>
      <c r="H39" s="8"/>
      <c r="I39" s="14"/>
      <c r="J39" s="36"/>
      <c r="K39" s="38"/>
      <c r="L39" s="37"/>
      <c r="M39" s="53"/>
      <c r="N39" s="39"/>
      <c r="O39" s="39"/>
      <c r="P39" s="38"/>
      <c r="W39" s="1" t="s">
        <v>114</v>
      </c>
      <c r="Y39" s="19" t="s">
        <v>58</v>
      </c>
      <c r="Z39" s="44"/>
      <c r="AA39" s="19" t="s">
        <v>54</v>
      </c>
    </row>
    <row r="40" spans="1:28" x14ac:dyDescent="0.25">
      <c r="V40" s="1" t="s">
        <v>112</v>
      </c>
      <c r="W40" s="1" t="s">
        <v>120</v>
      </c>
      <c r="X40" s="1" t="s">
        <v>121</v>
      </c>
      <c r="Y40" s="1" t="s">
        <v>113</v>
      </c>
      <c r="Z40" s="44" t="s">
        <v>121</v>
      </c>
      <c r="AA40" s="1" t="s">
        <v>122</v>
      </c>
    </row>
    <row r="42" spans="1:28" x14ac:dyDescent="0.25">
      <c r="V42" s="25" t="s">
        <v>115</v>
      </c>
    </row>
    <row r="43" spans="1:28" x14ac:dyDescent="0.25">
      <c r="W43" s="1" t="s">
        <v>107</v>
      </c>
    </row>
    <row r="44" spans="1:28" x14ac:dyDescent="0.25">
      <c r="W44" s="40" t="s">
        <v>51</v>
      </c>
      <c r="X44" s="40" t="s">
        <v>65</v>
      </c>
      <c r="Y44" s="40" t="s">
        <v>67</v>
      </c>
      <c r="Z44" s="40" t="s">
        <v>79</v>
      </c>
    </row>
    <row r="45" spans="1:28" ht="15.75" thickBot="1" x14ac:dyDescent="0.3">
      <c r="V45" s="18" t="s">
        <v>106</v>
      </c>
      <c r="W45" s="40" t="s">
        <v>28</v>
      </c>
      <c r="X45" s="40" t="s">
        <v>29</v>
      </c>
      <c r="Y45" s="40" t="s">
        <v>30</v>
      </c>
      <c r="Z45" s="40" t="s">
        <v>31</v>
      </c>
    </row>
    <row r="46" spans="1:28" x14ac:dyDescent="0.25">
      <c r="U46" s="40" t="s">
        <v>51</v>
      </c>
      <c r="V46" s="40" t="s">
        <v>28</v>
      </c>
      <c r="W46" s="56" t="str">
        <f>U46</f>
        <v>0</v>
      </c>
      <c r="X46" s="57">
        <f>$W$22+$X$20</f>
        <v>4</v>
      </c>
      <c r="Y46" s="73">
        <f>W46+$Y$20</f>
        <v>12</v>
      </c>
      <c r="Z46" s="60">
        <f>W46+$Z$20</f>
        <v>8</v>
      </c>
      <c r="AB46" s="44"/>
    </row>
    <row r="47" spans="1:28" x14ac:dyDescent="0.25">
      <c r="U47" s="40" t="s">
        <v>53</v>
      </c>
      <c r="V47" s="40" t="s">
        <v>29</v>
      </c>
      <c r="W47" s="58" t="str">
        <f>U47</f>
        <v>1</v>
      </c>
      <c r="X47" s="61">
        <f>W47+$X$20</f>
        <v>5</v>
      </c>
      <c r="Y47" s="72">
        <f>W47+$Y$20</f>
        <v>13</v>
      </c>
      <c r="Z47" s="59">
        <f t="shared" ref="Z47:Z49" si="19">W47+$Z$20</f>
        <v>9</v>
      </c>
    </row>
    <row r="48" spans="1:28" x14ac:dyDescent="0.25">
      <c r="U48" s="40" t="s">
        <v>55</v>
      </c>
      <c r="V48" s="40" t="s">
        <v>30</v>
      </c>
      <c r="W48" s="58" t="str">
        <f>U48</f>
        <v>3</v>
      </c>
      <c r="X48" s="61">
        <f>W48+$X$20</f>
        <v>7</v>
      </c>
      <c r="Y48" s="72">
        <f>W48+$Y$20</f>
        <v>15</v>
      </c>
      <c r="Z48" s="72">
        <f t="shared" si="19"/>
        <v>11</v>
      </c>
    </row>
    <row r="49" spans="21:27" x14ac:dyDescent="0.25">
      <c r="U49" s="40" t="s">
        <v>57</v>
      </c>
      <c r="V49" s="40" t="s">
        <v>31</v>
      </c>
      <c r="W49" s="58" t="str">
        <f>U49</f>
        <v>2</v>
      </c>
      <c r="X49" s="61">
        <f>W49+$X$20</f>
        <v>6</v>
      </c>
      <c r="Y49" s="72">
        <f>W49+$Y$20</f>
        <v>14</v>
      </c>
      <c r="Z49" s="72">
        <f t="shared" si="19"/>
        <v>10</v>
      </c>
    </row>
    <row r="50" spans="21:27" x14ac:dyDescent="0.25">
      <c r="Z50" s="44"/>
    </row>
    <row r="51" spans="21:27" x14ac:dyDescent="0.25">
      <c r="Y51" s="19"/>
      <c r="Z51" s="44"/>
      <c r="AA51" s="19"/>
    </row>
    <row r="52" spans="21:27" x14ac:dyDescent="0.25">
      <c r="V52" s="1" t="s">
        <v>116</v>
      </c>
      <c r="W52" s="1" t="s">
        <v>123</v>
      </c>
      <c r="X52" s="1" t="s">
        <v>121</v>
      </c>
      <c r="Y52" s="1" t="s">
        <v>124</v>
      </c>
      <c r="Z52" s="1" t="s">
        <v>121</v>
      </c>
      <c r="AA52" s="1" t="s">
        <v>125</v>
      </c>
    </row>
    <row r="54" spans="21:27" x14ac:dyDescent="0.25">
      <c r="V54" s="25" t="s">
        <v>117</v>
      </c>
    </row>
    <row r="55" spans="21:27" x14ac:dyDescent="0.25">
      <c r="W55" s="1" t="s">
        <v>107</v>
      </c>
    </row>
    <row r="56" spans="21:27" x14ac:dyDescent="0.25">
      <c r="W56" s="40" t="s">
        <v>51</v>
      </c>
      <c r="X56" s="40" t="s">
        <v>65</v>
      </c>
      <c r="Y56" s="40" t="s">
        <v>67</v>
      </c>
      <c r="Z56" s="40" t="s">
        <v>79</v>
      </c>
    </row>
    <row r="57" spans="21:27" ht="15.75" thickBot="1" x14ac:dyDescent="0.3">
      <c r="V57" s="18" t="s">
        <v>106</v>
      </c>
      <c r="W57" s="40" t="s">
        <v>28</v>
      </c>
      <c r="X57" s="40" t="s">
        <v>29</v>
      </c>
      <c r="Y57" s="40" t="s">
        <v>30</v>
      </c>
      <c r="Z57" s="40" t="s">
        <v>31</v>
      </c>
    </row>
    <row r="58" spans="21:27" x14ac:dyDescent="0.25">
      <c r="U58" s="40" t="s">
        <v>51</v>
      </c>
      <c r="V58" s="40" t="s">
        <v>28</v>
      </c>
      <c r="W58" s="63" t="str">
        <f>U58</f>
        <v>0</v>
      </c>
      <c r="X58" s="57">
        <f>$W$22+$X$20</f>
        <v>4</v>
      </c>
      <c r="Y58" s="73">
        <f>W58+$Y$20</f>
        <v>12</v>
      </c>
      <c r="Z58" s="57">
        <f>W58+$Z$20</f>
        <v>8</v>
      </c>
    </row>
    <row r="59" spans="21:27" x14ac:dyDescent="0.25">
      <c r="U59" s="40" t="s">
        <v>53</v>
      </c>
      <c r="V59" s="40" t="s">
        <v>29</v>
      </c>
      <c r="W59" s="58" t="str">
        <f>U59</f>
        <v>1</v>
      </c>
      <c r="X59" s="59">
        <f>W59+$X$20</f>
        <v>5</v>
      </c>
      <c r="Y59" s="72">
        <f>W59+$Y$20</f>
        <v>13</v>
      </c>
      <c r="Z59" s="61">
        <f t="shared" ref="Z59:Z61" si="20">W59+$Z$20</f>
        <v>9</v>
      </c>
    </row>
    <row r="60" spans="21:27" x14ac:dyDescent="0.25">
      <c r="U60" s="40" t="s">
        <v>55</v>
      </c>
      <c r="V60" s="40" t="s">
        <v>30</v>
      </c>
      <c r="W60" s="58" t="str">
        <f>U60</f>
        <v>3</v>
      </c>
      <c r="X60" s="59">
        <f>W60+$X$20</f>
        <v>7</v>
      </c>
      <c r="Y60" s="72">
        <f>W60+$Y$20</f>
        <v>15</v>
      </c>
      <c r="Z60" s="72">
        <f t="shared" si="20"/>
        <v>11</v>
      </c>
    </row>
    <row r="61" spans="21:27" x14ac:dyDescent="0.25">
      <c r="U61" s="40" t="s">
        <v>57</v>
      </c>
      <c r="V61" s="40" t="s">
        <v>31</v>
      </c>
      <c r="W61" s="58" t="str">
        <f>U61</f>
        <v>2</v>
      </c>
      <c r="X61" s="59">
        <f>W61+$X$20</f>
        <v>6</v>
      </c>
      <c r="Y61" s="72">
        <f>W61+$Y$20</f>
        <v>14</v>
      </c>
      <c r="Z61" s="72">
        <f t="shared" si="20"/>
        <v>10</v>
      </c>
    </row>
    <row r="62" spans="21:27" x14ac:dyDescent="0.25">
      <c r="Z62" s="44"/>
    </row>
    <row r="63" spans="21:27" x14ac:dyDescent="0.25">
      <c r="Y63" s="19"/>
      <c r="Z63" s="44"/>
      <c r="AA63" s="19"/>
    </row>
    <row r="64" spans="21:27" x14ac:dyDescent="0.25">
      <c r="V64" s="1" t="s">
        <v>118</v>
      </c>
      <c r="W64" s="1" t="s">
        <v>126</v>
      </c>
      <c r="X64" s="1" t="s">
        <v>121</v>
      </c>
      <c r="Y64" s="1" t="s">
        <v>119</v>
      </c>
      <c r="Z64" s="44"/>
    </row>
  </sheetData>
  <mergeCells count="3">
    <mergeCell ref="H27:K27"/>
    <mergeCell ref="C27:F27"/>
    <mergeCell ref="M27:P27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4:AM51"/>
  <sheetViews>
    <sheetView topLeftCell="H19" workbookViewId="0">
      <selection activeCell="M18" sqref="M18"/>
    </sheetView>
  </sheetViews>
  <sheetFormatPr defaultRowHeight="15" x14ac:dyDescent="0.25"/>
  <cols>
    <col min="1" max="38" width="9.140625" style="1"/>
    <col min="39" max="39" width="15.140625" style="1" bestFit="1" customWidth="1"/>
    <col min="40" max="16384" width="9.140625" style="1"/>
  </cols>
  <sheetData>
    <row r="4" spans="3:33" ht="15.75" thickBot="1" x14ac:dyDescent="0.3">
      <c r="C4" t="s">
        <v>10</v>
      </c>
    </row>
    <row r="5" spans="3:33" ht="15.75" thickBot="1" x14ac:dyDescent="0.3">
      <c r="X5" s="4" t="s">
        <v>0</v>
      </c>
      <c r="Y5" s="3" t="s">
        <v>1</v>
      </c>
      <c r="Z5" s="3" t="s">
        <v>2</v>
      </c>
      <c r="AA5" s="4" t="s">
        <v>3</v>
      </c>
      <c r="AB5" s="3" t="s">
        <v>4</v>
      </c>
      <c r="AC5" s="4" t="s">
        <v>5</v>
      </c>
      <c r="AD5" s="3" t="s">
        <v>6</v>
      </c>
      <c r="AE5" s="4" t="s">
        <v>7</v>
      </c>
      <c r="AG5" s="7" t="s">
        <v>8</v>
      </c>
    </row>
    <row r="6" spans="3:33" x14ac:dyDescent="0.25">
      <c r="C6" s="10" t="s">
        <v>9</v>
      </c>
      <c r="I6" s="10" t="s">
        <v>14</v>
      </c>
      <c r="X6" s="5">
        <v>0</v>
      </c>
      <c r="Y6" s="9">
        <f>AG6</f>
        <v>0</v>
      </c>
      <c r="Z6" s="9">
        <v>0</v>
      </c>
      <c r="AA6" s="5">
        <v>1</v>
      </c>
      <c r="AB6" s="9">
        <v>0</v>
      </c>
      <c r="AC6" s="5">
        <v>1</v>
      </c>
      <c r="AD6" s="9">
        <v>1</v>
      </c>
      <c r="AE6" s="5">
        <v>1</v>
      </c>
      <c r="AG6" s="1">
        <f>doXOR3(AA6,AC6,AE6)</f>
        <v>0</v>
      </c>
    </row>
    <row r="7" spans="3:33" x14ac:dyDescent="0.25">
      <c r="X7" s="5">
        <v>1</v>
      </c>
      <c r="Y7" s="9">
        <f>AG7</f>
        <v>1</v>
      </c>
      <c r="Z7" s="9">
        <f>Y6</f>
        <v>0</v>
      </c>
      <c r="AA7" s="5">
        <f>Z6</f>
        <v>0</v>
      </c>
      <c r="AB7" s="9">
        <f t="shared" ref="AB7:AE11" si="0">AA6</f>
        <v>1</v>
      </c>
      <c r="AC7" s="5">
        <f t="shared" si="0"/>
        <v>0</v>
      </c>
      <c r="AD7" s="9">
        <f t="shared" si="0"/>
        <v>1</v>
      </c>
      <c r="AE7" s="5">
        <f t="shared" si="0"/>
        <v>1</v>
      </c>
      <c r="AG7" s="1">
        <f t="shared" ref="AG7:AG11" si="1">doXOR3(AA7,AC7,AE7)</f>
        <v>1</v>
      </c>
    </row>
    <row r="8" spans="3:33" ht="15.75" thickBot="1" x14ac:dyDescent="0.3">
      <c r="X8" s="5">
        <v>2</v>
      </c>
      <c r="Y8" s="9">
        <f t="shared" ref="Y8:Y11" si="2">AG8</f>
        <v>0</v>
      </c>
      <c r="Z8" s="9">
        <f t="shared" ref="Z8:AA11" si="3">Y7</f>
        <v>1</v>
      </c>
      <c r="AA8" s="5">
        <f t="shared" si="3"/>
        <v>0</v>
      </c>
      <c r="AB8" s="9">
        <f t="shared" si="0"/>
        <v>0</v>
      </c>
      <c r="AC8" s="5">
        <f t="shared" si="0"/>
        <v>1</v>
      </c>
      <c r="AD8" s="9">
        <f t="shared" si="0"/>
        <v>0</v>
      </c>
      <c r="AE8" s="5">
        <f t="shared" si="0"/>
        <v>1</v>
      </c>
      <c r="AG8" s="1">
        <f t="shared" si="1"/>
        <v>0</v>
      </c>
    </row>
    <row r="9" spans="3:33" ht="15.75" thickBot="1" x14ac:dyDescent="0.3">
      <c r="C9" s="2" t="s">
        <v>11</v>
      </c>
      <c r="D9" s="3" t="s">
        <v>19</v>
      </c>
      <c r="E9" s="3" t="s">
        <v>18</v>
      </c>
      <c r="I9" s="2" t="s">
        <v>11</v>
      </c>
      <c r="J9" s="3" t="s">
        <v>19</v>
      </c>
      <c r="K9" s="3" t="s">
        <v>18</v>
      </c>
      <c r="X9" s="5">
        <v>3</v>
      </c>
      <c r="Y9" s="9">
        <f t="shared" si="2"/>
        <v>1</v>
      </c>
      <c r="Z9" s="9">
        <f t="shared" si="3"/>
        <v>0</v>
      </c>
      <c r="AA9" s="5">
        <f t="shared" si="3"/>
        <v>1</v>
      </c>
      <c r="AB9" s="9">
        <f t="shared" si="0"/>
        <v>0</v>
      </c>
      <c r="AC9" s="5">
        <f t="shared" si="0"/>
        <v>0</v>
      </c>
      <c r="AD9" s="9">
        <f t="shared" si="0"/>
        <v>1</v>
      </c>
      <c r="AE9" s="5">
        <f t="shared" si="0"/>
        <v>0</v>
      </c>
      <c r="AG9" s="1">
        <f t="shared" si="1"/>
        <v>1</v>
      </c>
    </row>
    <row r="10" spans="3:33" x14ac:dyDescent="0.25">
      <c r="C10" s="1">
        <v>0</v>
      </c>
      <c r="D10" s="1">
        <v>0</v>
      </c>
      <c r="E10" s="12">
        <v>0</v>
      </c>
      <c r="F10" s="1" t="s">
        <v>12</v>
      </c>
      <c r="I10" s="1">
        <v>0</v>
      </c>
      <c r="J10" s="1">
        <v>0</v>
      </c>
      <c r="K10" s="12">
        <v>0</v>
      </c>
      <c r="L10" s="1" t="s">
        <v>15</v>
      </c>
      <c r="X10" s="5">
        <v>4</v>
      </c>
      <c r="Y10" s="9">
        <f t="shared" si="2"/>
        <v>1</v>
      </c>
      <c r="Z10" s="9">
        <f t="shared" si="3"/>
        <v>1</v>
      </c>
      <c r="AA10" s="5">
        <f t="shared" si="3"/>
        <v>0</v>
      </c>
      <c r="AB10" s="9">
        <f t="shared" si="0"/>
        <v>1</v>
      </c>
      <c r="AC10" s="5">
        <f t="shared" si="0"/>
        <v>0</v>
      </c>
      <c r="AD10" s="9">
        <f t="shared" si="0"/>
        <v>0</v>
      </c>
      <c r="AE10" s="5">
        <f t="shared" si="0"/>
        <v>1</v>
      </c>
      <c r="AG10" s="1">
        <f t="shared" si="1"/>
        <v>1</v>
      </c>
    </row>
    <row r="11" spans="3:33" ht="15.75" thickBot="1" x14ac:dyDescent="0.3">
      <c r="C11" s="1">
        <v>0</v>
      </c>
      <c r="D11" s="1">
        <v>1</v>
      </c>
      <c r="E11" s="12">
        <v>0</v>
      </c>
      <c r="F11" s="1" t="s">
        <v>12</v>
      </c>
      <c r="I11" s="1">
        <v>0</v>
      </c>
      <c r="J11" s="1">
        <v>1</v>
      </c>
      <c r="K11" s="12">
        <v>1</v>
      </c>
      <c r="L11" s="1" t="s">
        <v>15</v>
      </c>
      <c r="X11" s="6">
        <v>5</v>
      </c>
      <c r="Y11" s="9">
        <f t="shared" si="2"/>
        <v>0</v>
      </c>
      <c r="Z11" s="9">
        <f t="shared" si="3"/>
        <v>1</v>
      </c>
      <c r="AA11" s="6">
        <f t="shared" si="3"/>
        <v>1</v>
      </c>
      <c r="AB11" s="9">
        <f t="shared" si="0"/>
        <v>0</v>
      </c>
      <c r="AC11" s="6">
        <f t="shared" si="0"/>
        <v>1</v>
      </c>
      <c r="AD11" s="9">
        <f t="shared" si="0"/>
        <v>0</v>
      </c>
      <c r="AE11" s="6">
        <f t="shared" si="0"/>
        <v>0</v>
      </c>
      <c r="AG11" s="1">
        <f t="shared" si="1"/>
        <v>0</v>
      </c>
    </row>
    <row r="12" spans="3:33" x14ac:dyDescent="0.25">
      <c r="C12" s="1">
        <v>1</v>
      </c>
      <c r="D12" s="1">
        <v>0</v>
      </c>
      <c r="E12" s="12">
        <v>1</v>
      </c>
      <c r="F12" s="1" t="s">
        <v>13</v>
      </c>
      <c r="I12" s="1">
        <v>1</v>
      </c>
      <c r="J12" s="1">
        <v>0</v>
      </c>
      <c r="K12" s="12">
        <v>0</v>
      </c>
      <c r="L12" s="1" t="s">
        <v>16</v>
      </c>
    </row>
    <row r="13" spans="3:33" x14ac:dyDescent="0.25">
      <c r="C13" s="1">
        <v>1</v>
      </c>
      <c r="D13" s="1">
        <v>1</v>
      </c>
      <c r="E13" s="12">
        <v>1</v>
      </c>
      <c r="F13" s="1" t="s">
        <v>13</v>
      </c>
      <c r="I13" s="1">
        <v>1</v>
      </c>
      <c r="J13" s="1">
        <v>1</v>
      </c>
      <c r="K13" s="12">
        <v>1</v>
      </c>
      <c r="L13" s="1" t="s">
        <v>16</v>
      </c>
    </row>
    <row r="16" spans="3:33" ht="15.75" thickBot="1" x14ac:dyDescent="0.3">
      <c r="C16" t="s">
        <v>17</v>
      </c>
      <c r="Z16" s="10" t="s">
        <v>36</v>
      </c>
    </row>
    <row r="17" spans="1:39" ht="15.75" thickBot="1" x14ac:dyDescent="0.3">
      <c r="C17" s="2" t="s">
        <v>19</v>
      </c>
      <c r="D17" s="3" t="s">
        <v>18</v>
      </c>
      <c r="E17" s="11" t="s">
        <v>11</v>
      </c>
      <c r="AM17" s="1" t="s">
        <v>105</v>
      </c>
    </row>
    <row r="18" spans="1:39" x14ac:dyDescent="0.25">
      <c r="C18" s="1">
        <v>0</v>
      </c>
      <c r="D18" s="1">
        <v>0</v>
      </c>
      <c r="E18" s="12">
        <v>0</v>
      </c>
      <c r="Z18" s="25" t="s">
        <v>88</v>
      </c>
    </row>
    <row r="19" spans="1:39" x14ac:dyDescent="0.25">
      <c r="C19" s="1">
        <v>0</v>
      </c>
      <c r="D19" s="1">
        <v>1</v>
      </c>
      <c r="E19" s="12">
        <v>1</v>
      </c>
      <c r="AA19" s="1" t="s">
        <v>50</v>
      </c>
    </row>
    <row r="20" spans="1:39" x14ac:dyDescent="0.25">
      <c r="C20" s="1">
        <v>1</v>
      </c>
      <c r="D20" s="1">
        <v>0</v>
      </c>
      <c r="E20" s="12">
        <v>0</v>
      </c>
      <c r="AA20" s="40" t="s">
        <v>51</v>
      </c>
      <c r="AB20" s="40" t="s">
        <v>90</v>
      </c>
      <c r="AC20" s="40" t="s">
        <v>91</v>
      </c>
      <c r="AD20" s="40" t="s">
        <v>92</v>
      </c>
      <c r="AE20" s="40" t="s">
        <v>93</v>
      </c>
      <c r="AF20" s="40" t="s">
        <v>94</v>
      </c>
      <c r="AG20" s="40" t="s">
        <v>96</v>
      </c>
      <c r="AH20" s="40" t="s">
        <v>97</v>
      </c>
    </row>
    <row r="21" spans="1:39" ht="15.75" thickBot="1" x14ac:dyDescent="0.3">
      <c r="C21" s="1">
        <v>1</v>
      </c>
      <c r="D21" s="1">
        <v>1</v>
      </c>
      <c r="E21" s="12">
        <v>1</v>
      </c>
      <c r="Z21" s="18" t="s">
        <v>49</v>
      </c>
      <c r="AA21" s="40" t="s">
        <v>81</v>
      </c>
      <c r="AB21" s="40" t="s">
        <v>82</v>
      </c>
      <c r="AC21" s="40" t="s">
        <v>83</v>
      </c>
      <c r="AD21" s="40" t="s">
        <v>84</v>
      </c>
      <c r="AE21" s="40" t="s">
        <v>85</v>
      </c>
      <c r="AF21" s="40" t="s">
        <v>86</v>
      </c>
      <c r="AG21" s="40" t="s">
        <v>95</v>
      </c>
      <c r="AH21" s="40" t="s">
        <v>87</v>
      </c>
    </row>
    <row r="22" spans="1:39" x14ac:dyDescent="0.25">
      <c r="Y22" s="40" t="s">
        <v>51</v>
      </c>
      <c r="Z22" s="40" t="s">
        <v>52</v>
      </c>
      <c r="AA22" s="41" t="str">
        <f>Y22</f>
        <v>0</v>
      </c>
      <c r="AB22" s="42">
        <f>$AA$22+$AB$20</f>
        <v>16</v>
      </c>
      <c r="AC22" s="42">
        <f>AA22+$AC$20</f>
        <v>48</v>
      </c>
      <c r="AD22" s="42">
        <f>AA22+$AD$20</f>
        <v>32</v>
      </c>
      <c r="AE22" s="42">
        <f>AA22+$AE$20</f>
        <v>96</v>
      </c>
      <c r="AF22" s="50">
        <f>AA22+$AF$20</f>
        <v>112</v>
      </c>
      <c r="AG22" s="42">
        <f>AA22+$AG$20</f>
        <v>80</v>
      </c>
      <c r="AH22" s="42">
        <f>AA22+$AH$20</f>
        <v>64</v>
      </c>
    </row>
    <row r="23" spans="1:39" x14ac:dyDescent="0.25">
      <c r="Y23" s="40" t="s">
        <v>53</v>
      </c>
      <c r="Z23" s="40" t="s">
        <v>54</v>
      </c>
      <c r="AA23" s="43" t="str">
        <f t="shared" ref="AA23:AA37" si="4">Y23</f>
        <v>1</v>
      </c>
      <c r="AB23" s="44">
        <f>AA23+$AB$20</f>
        <v>17</v>
      </c>
      <c r="AC23" s="44">
        <f t="shared" ref="AC23:AC37" si="5">AA23+$AC$20</f>
        <v>49</v>
      </c>
      <c r="AD23" s="44">
        <f>AA22+$AD$21</f>
        <v>10</v>
      </c>
      <c r="AE23" s="44">
        <f t="shared" ref="AE23:AE37" si="6">AA23+$AE$20</f>
        <v>97</v>
      </c>
      <c r="AF23" s="44">
        <f t="shared" ref="AF23:AF37" si="7">AA23+$AF$20</f>
        <v>113</v>
      </c>
      <c r="AG23" s="44">
        <f t="shared" ref="AG23:AG37" si="8">AA23+$AG$20</f>
        <v>81</v>
      </c>
      <c r="AH23" s="45">
        <f t="shared" ref="AH23:AH37" si="9">AA23+$AH$20</f>
        <v>65</v>
      </c>
    </row>
    <row r="24" spans="1:39" x14ac:dyDescent="0.25">
      <c r="Y24" s="40" t="s">
        <v>55</v>
      </c>
      <c r="Z24" s="40" t="s">
        <v>56</v>
      </c>
      <c r="AA24" s="43" t="str">
        <f t="shared" si="4"/>
        <v>3</v>
      </c>
      <c r="AB24" s="44">
        <f t="shared" ref="AB24:AB37" si="10">AA24+$AB$20</f>
        <v>19</v>
      </c>
      <c r="AC24" s="49">
        <f t="shared" si="5"/>
        <v>51</v>
      </c>
      <c r="AD24" s="44">
        <f>AA22+$AD$22</f>
        <v>32</v>
      </c>
      <c r="AE24" s="44">
        <f t="shared" si="6"/>
        <v>99</v>
      </c>
      <c r="AF24" s="44">
        <f t="shared" si="7"/>
        <v>115</v>
      </c>
      <c r="AG24" s="44">
        <f t="shared" si="8"/>
        <v>83</v>
      </c>
      <c r="AH24" s="45">
        <f t="shared" si="9"/>
        <v>67</v>
      </c>
    </row>
    <row r="25" spans="1:39" x14ac:dyDescent="0.25">
      <c r="C25" s="10" t="s">
        <v>20</v>
      </c>
      <c r="Y25" s="40" t="s">
        <v>57</v>
      </c>
      <c r="Z25" s="40" t="s">
        <v>58</v>
      </c>
      <c r="AA25" s="43" t="str">
        <f t="shared" si="4"/>
        <v>2</v>
      </c>
      <c r="AB25" s="44">
        <f t="shared" si="10"/>
        <v>18</v>
      </c>
      <c r="AC25" s="44">
        <f t="shared" si="5"/>
        <v>50</v>
      </c>
      <c r="AD25" s="44">
        <f>AA22+$AD$23</f>
        <v>10</v>
      </c>
      <c r="AE25" s="44">
        <f t="shared" si="6"/>
        <v>98</v>
      </c>
      <c r="AF25" s="44">
        <f t="shared" si="7"/>
        <v>114</v>
      </c>
      <c r="AG25" s="44">
        <f t="shared" si="8"/>
        <v>82</v>
      </c>
      <c r="AH25" s="45">
        <f t="shared" si="9"/>
        <v>66</v>
      </c>
    </row>
    <row r="26" spans="1:39" ht="15.75" thickBot="1" x14ac:dyDescent="0.3">
      <c r="Y26" s="40" t="s">
        <v>59</v>
      </c>
      <c r="Z26" s="40" t="s">
        <v>60</v>
      </c>
      <c r="AA26" s="43" t="str">
        <f t="shared" si="4"/>
        <v>6</v>
      </c>
      <c r="AB26" s="44">
        <f>AA26+$AB$20</f>
        <v>22</v>
      </c>
      <c r="AC26" s="44">
        <f t="shared" si="5"/>
        <v>54</v>
      </c>
      <c r="AD26" s="44">
        <f>AA22+$AD$24</f>
        <v>32</v>
      </c>
      <c r="AE26" s="44">
        <f t="shared" si="6"/>
        <v>102</v>
      </c>
      <c r="AF26" s="44">
        <f t="shared" si="7"/>
        <v>118</v>
      </c>
      <c r="AG26" s="44">
        <f t="shared" si="8"/>
        <v>86</v>
      </c>
      <c r="AH26" s="45">
        <f t="shared" si="9"/>
        <v>70</v>
      </c>
    </row>
    <row r="27" spans="1:39" x14ac:dyDescent="0.25">
      <c r="A27" s="1" t="s">
        <v>89</v>
      </c>
      <c r="C27" s="64" t="s">
        <v>21</v>
      </c>
      <c r="D27" s="65"/>
      <c r="E27" s="65"/>
      <c r="F27" s="65"/>
      <c r="G27" s="65"/>
      <c r="H27" s="65"/>
      <c r="I27" s="66"/>
      <c r="J27" s="64" t="s">
        <v>22</v>
      </c>
      <c r="K27" s="65"/>
      <c r="L27" s="65"/>
      <c r="M27" s="65"/>
      <c r="N27" s="65"/>
      <c r="O27" s="65"/>
      <c r="P27" s="66"/>
      <c r="Q27" s="64" t="s">
        <v>23</v>
      </c>
      <c r="R27" s="65"/>
      <c r="S27" s="65"/>
      <c r="T27" s="65"/>
      <c r="U27" s="65"/>
      <c r="V27" s="65"/>
      <c r="W27" s="66"/>
      <c r="Y27" s="40" t="s">
        <v>61</v>
      </c>
      <c r="Z27" s="40" t="s">
        <v>62</v>
      </c>
      <c r="AA27" s="43" t="str">
        <f t="shared" si="4"/>
        <v>7</v>
      </c>
      <c r="AB27" s="44">
        <f t="shared" si="10"/>
        <v>23</v>
      </c>
      <c r="AC27" s="44">
        <f t="shared" si="5"/>
        <v>55</v>
      </c>
      <c r="AD27" s="44">
        <f>AA22+$AD$25</f>
        <v>10</v>
      </c>
      <c r="AE27" s="44">
        <f t="shared" si="6"/>
        <v>103</v>
      </c>
      <c r="AF27" s="44">
        <f t="shared" si="7"/>
        <v>119</v>
      </c>
      <c r="AG27" s="44">
        <f t="shared" si="8"/>
        <v>87</v>
      </c>
      <c r="AH27" s="45">
        <f t="shared" si="9"/>
        <v>71</v>
      </c>
    </row>
    <row r="28" spans="1:39" ht="15.75" thickBot="1" x14ac:dyDescent="0.3">
      <c r="C28" s="8" t="s">
        <v>48</v>
      </c>
      <c r="D28" s="14" t="s">
        <v>47</v>
      </c>
      <c r="E28" s="14" t="s">
        <v>46</v>
      </c>
      <c r="F28" s="14" t="s">
        <v>11</v>
      </c>
      <c r="G28" s="8" t="s">
        <v>45</v>
      </c>
      <c r="H28" s="14" t="s">
        <v>44</v>
      </c>
      <c r="I28" s="17" t="s">
        <v>43</v>
      </c>
      <c r="J28" s="8" t="s">
        <v>48</v>
      </c>
      <c r="K28" s="14" t="s">
        <v>47</v>
      </c>
      <c r="L28" s="14" t="s">
        <v>46</v>
      </c>
      <c r="M28" s="14" t="s">
        <v>11</v>
      </c>
      <c r="N28" s="8" t="s">
        <v>45</v>
      </c>
      <c r="O28" s="14" t="s">
        <v>44</v>
      </c>
      <c r="P28" s="17" t="s">
        <v>43</v>
      </c>
      <c r="Q28" s="8" t="s">
        <v>48</v>
      </c>
      <c r="R28" s="14" t="s">
        <v>47</v>
      </c>
      <c r="S28" s="14" t="s">
        <v>46</v>
      </c>
      <c r="T28" s="14" t="s">
        <v>11</v>
      </c>
      <c r="U28" s="8" t="s">
        <v>45</v>
      </c>
      <c r="V28" s="14" t="s">
        <v>44</v>
      </c>
      <c r="W28" s="17" t="s">
        <v>43</v>
      </c>
      <c r="Y28" s="40" t="s">
        <v>63</v>
      </c>
      <c r="Z28" s="40" t="s">
        <v>64</v>
      </c>
      <c r="AA28" s="43" t="str">
        <f t="shared" si="4"/>
        <v>5</v>
      </c>
      <c r="AB28" s="44">
        <f t="shared" si="10"/>
        <v>21</v>
      </c>
      <c r="AC28" s="44">
        <f t="shared" si="5"/>
        <v>53</v>
      </c>
      <c r="AD28" s="44">
        <f>AA22+$AD$26</f>
        <v>32</v>
      </c>
      <c r="AE28" s="44">
        <f t="shared" si="6"/>
        <v>101</v>
      </c>
      <c r="AF28" s="44">
        <f t="shared" si="7"/>
        <v>117</v>
      </c>
      <c r="AG28" s="44">
        <f t="shared" si="8"/>
        <v>85</v>
      </c>
      <c r="AH28" s="45">
        <f t="shared" si="9"/>
        <v>69</v>
      </c>
    </row>
    <row r="29" spans="1:39" x14ac:dyDescent="0.25">
      <c r="A29" s="1">
        <v>9</v>
      </c>
      <c r="B29" s="1">
        <f>I29+(H29*2)+(G29*2^2)+(F29*2^3)+(E29*2^4)+(D29*2^5)+(C29*2^6)</f>
        <v>123</v>
      </c>
      <c r="C29" s="33">
        <v>1</v>
      </c>
      <c r="D29" s="9">
        <v>1</v>
      </c>
      <c r="E29" s="9">
        <v>1</v>
      </c>
      <c r="F29" s="9">
        <v>1</v>
      </c>
      <c r="G29" s="9">
        <v>0</v>
      </c>
      <c r="H29" s="9">
        <v>1</v>
      </c>
      <c r="I29" s="34">
        <v>1</v>
      </c>
      <c r="J29" s="33">
        <f>C30</f>
        <v>1</v>
      </c>
      <c r="K29" s="9">
        <f>D30</f>
        <v>1</v>
      </c>
      <c r="L29" s="13">
        <f>E30</f>
        <v>1</v>
      </c>
      <c r="M29" s="13">
        <f t="shared" ref="M29:P38" si="11">F30</f>
        <v>1</v>
      </c>
      <c r="N29" s="13">
        <f t="shared" si="11"/>
        <v>1</v>
      </c>
      <c r="O29" s="13">
        <f t="shared" si="11"/>
        <v>1</v>
      </c>
      <c r="P29" s="34">
        <f t="shared" si="11"/>
        <v>1</v>
      </c>
      <c r="Q29" s="33">
        <f>J29</f>
        <v>1</v>
      </c>
      <c r="R29" s="33">
        <f t="shared" ref="R29:W38" si="12">K29</f>
        <v>1</v>
      </c>
      <c r="S29" s="33">
        <f t="shared" si="12"/>
        <v>1</v>
      </c>
      <c r="T29" s="33">
        <f t="shared" si="12"/>
        <v>1</v>
      </c>
      <c r="U29" s="33">
        <f t="shared" si="12"/>
        <v>1</v>
      </c>
      <c r="V29" s="33">
        <f t="shared" si="12"/>
        <v>1</v>
      </c>
      <c r="W29" s="33">
        <f>P29</f>
        <v>1</v>
      </c>
      <c r="X29" s="1">
        <f>B29</f>
        <v>123</v>
      </c>
      <c r="Y29" s="40" t="s">
        <v>65</v>
      </c>
      <c r="Z29" s="40" t="s">
        <v>66</v>
      </c>
      <c r="AA29" s="43" t="str">
        <f t="shared" si="4"/>
        <v>4</v>
      </c>
      <c r="AB29" s="44">
        <f t="shared" si="10"/>
        <v>20</v>
      </c>
      <c r="AC29" s="44">
        <f t="shared" si="5"/>
        <v>52</v>
      </c>
      <c r="AD29" s="44">
        <f>AA22+$AD$27</f>
        <v>10</v>
      </c>
      <c r="AE29" s="44">
        <f t="shared" si="6"/>
        <v>100</v>
      </c>
      <c r="AF29" s="44">
        <f t="shared" si="7"/>
        <v>116</v>
      </c>
      <c r="AG29" s="44">
        <f t="shared" si="8"/>
        <v>84</v>
      </c>
      <c r="AH29" s="45">
        <f t="shared" si="9"/>
        <v>68</v>
      </c>
    </row>
    <row r="30" spans="1:39" x14ac:dyDescent="0.25">
      <c r="A30" s="1">
        <v>8</v>
      </c>
      <c r="B30" s="1">
        <f t="shared" ref="B30:B39" si="13">I30+(H30*2)+(G30*2^2)+(F30*2^3)+(E30*2^4)+(D30*2^5)+(C30*2^6)</f>
        <v>127</v>
      </c>
      <c r="C30" s="33">
        <v>1</v>
      </c>
      <c r="D30" s="9">
        <v>1</v>
      </c>
      <c r="E30" s="9">
        <v>1</v>
      </c>
      <c r="F30" s="9">
        <v>1</v>
      </c>
      <c r="G30" s="9">
        <v>1</v>
      </c>
      <c r="H30" s="9">
        <v>1</v>
      </c>
      <c r="I30" s="34">
        <v>1</v>
      </c>
      <c r="J30" s="33">
        <f t="shared" ref="J30:L38" si="14">C31</f>
        <v>1</v>
      </c>
      <c r="K30" s="9">
        <f t="shared" si="14"/>
        <v>1</v>
      </c>
      <c r="L30" s="13">
        <f t="shared" si="14"/>
        <v>1</v>
      </c>
      <c r="M30" s="13">
        <f t="shared" si="11"/>
        <v>0</v>
      </c>
      <c r="N30" s="13">
        <f t="shared" si="11"/>
        <v>0</v>
      </c>
      <c r="O30" s="13">
        <f t="shared" si="11"/>
        <v>0</v>
      </c>
      <c r="P30" s="34">
        <f t="shared" si="11"/>
        <v>0</v>
      </c>
      <c r="Q30" s="33">
        <f t="shared" ref="Q30:Q38" si="15">J30</f>
        <v>1</v>
      </c>
      <c r="R30" s="33">
        <f t="shared" si="12"/>
        <v>1</v>
      </c>
      <c r="S30" s="33">
        <f t="shared" si="12"/>
        <v>1</v>
      </c>
      <c r="T30" s="33">
        <f t="shared" si="12"/>
        <v>0</v>
      </c>
      <c r="U30" s="33">
        <f t="shared" si="12"/>
        <v>0</v>
      </c>
      <c r="V30" s="33">
        <f t="shared" si="12"/>
        <v>0</v>
      </c>
      <c r="W30" s="33">
        <f t="shared" si="12"/>
        <v>0</v>
      </c>
      <c r="X30" s="1">
        <f t="shared" ref="X30:X38" si="16">B30</f>
        <v>127</v>
      </c>
      <c r="Y30" s="40" t="s">
        <v>67</v>
      </c>
      <c r="Z30" s="40" t="s">
        <v>68</v>
      </c>
      <c r="AA30" s="43" t="str">
        <f t="shared" si="4"/>
        <v>12</v>
      </c>
      <c r="AB30" s="44">
        <f t="shared" si="10"/>
        <v>28</v>
      </c>
      <c r="AC30" s="44">
        <f t="shared" si="5"/>
        <v>60</v>
      </c>
      <c r="AD30" s="44">
        <f>AA22+$AD$28</f>
        <v>32</v>
      </c>
      <c r="AE30" s="44">
        <f t="shared" si="6"/>
        <v>108</v>
      </c>
      <c r="AF30" s="44">
        <f t="shared" si="7"/>
        <v>124</v>
      </c>
      <c r="AG30" s="44">
        <f t="shared" si="8"/>
        <v>92</v>
      </c>
      <c r="AH30" s="45">
        <f t="shared" si="9"/>
        <v>76</v>
      </c>
    </row>
    <row r="31" spans="1:39" x14ac:dyDescent="0.25">
      <c r="A31" s="1">
        <v>7</v>
      </c>
      <c r="B31" s="1">
        <f t="shared" si="13"/>
        <v>112</v>
      </c>
      <c r="C31" s="33">
        <v>1</v>
      </c>
      <c r="D31" s="9">
        <v>1</v>
      </c>
      <c r="E31" s="9">
        <v>1</v>
      </c>
      <c r="F31" s="9">
        <v>0</v>
      </c>
      <c r="G31" s="9">
        <v>0</v>
      </c>
      <c r="H31" s="9">
        <v>0</v>
      </c>
      <c r="I31" s="34">
        <v>0</v>
      </c>
      <c r="J31" s="33">
        <f t="shared" si="14"/>
        <v>1</v>
      </c>
      <c r="K31" s="9">
        <f t="shared" si="14"/>
        <v>0</v>
      </c>
      <c r="L31" s="13">
        <f t="shared" si="14"/>
        <v>1</v>
      </c>
      <c r="M31" s="13">
        <f t="shared" si="11"/>
        <v>1</v>
      </c>
      <c r="N31" s="13">
        <f t="shared" si="11"/>
        <v>1</v>
      </c>
      <c r="O31" s="13">
        <f t="shared" si="11"/>
        <v>1</v>
      </c>
      <c r="P31" s="34">
        <f t="shared" si="11"/>
        <v>1</v>
      </c>
      <c r="Q31" s="33">
        <f t="shared" si="15"/>
        <v>1</v>
      </c>
      <c r="R31" s="33">
        <f t="shared" si="12"/>
        <v>0</v>
      </c>
      <c r="S31" s="33">
        <f t="shared" si="12"/>
        <v>1</v>
      </c>
      <c r="T31" s="33">
        <f t="shared" si="12"/>
        <v>1</v>
      </c>
      <c r="U31" s="33">
        <f t="shared" si="12"/>
        <v>1</v>
      </c>
      <c r="V31" s="33">
        <f t="shared" si="12"/>
        <v>1</v>
      </c>
      <c r="W31" s="33">
        <f t="shared" si="12"/>
        <v>1</v>
      </c>
      <c r="X31" s="1">
        <f t="shared" si="16"/>
        <v>112</v>
      </c>
      <c r="Y31" s="40" t="s">
        <v>69</v>
      </c>
      <c r="Z31" s="40" t="s">
        <v>70</v>
      </c>
      <c r="AA31" s="43" t="str">
        <f t="shared" si="4"/>
        <v>13</v>
      </c>
      <c r="AB31" s="44">
        <f t="shared" si="10"/>
        <v>29</v>
      </c>
      <c r="AC31" s="44">
        <f t="shared" si="5"/>
        <v>61</v>
      </c>
      <c r="AD31" s="44">
        <f>AA22+$AD$29</f>
        <v>10</v>
      </c>
      <c r="AE31" s="44">
        <f t="shared" si="6"/>
        <v>109</v>
      </c>
      <c r="AF31" s="44">
        <f t="shared" si="7"/>
        <v>125</v>
      </c>
      <c r="AG31" s="44">
        <f t="shared" si="8"/>
        <v>93</v>
      </c>
      <c r="AH31" s="45">
        <f t="shared" si="9"/>
        <v>77</v>
      </c>
    </row>
    <row r="32" spans="1:39" x14ac:dyDescent="0.25">
      <c r="A32" s="1">
        <v>6</v>
      </c>
      <c r="B32" s="1">
        <f t="shared" si="13"/>
        <v>95</v>
      </c>
      <c r="C32" s="33">
        <v>1</v>
      </c>
      <c r="D32" s="9">
        <v>0</v>
      </c>
      <c r="E32" s="9">
        <v>1</v>
      </c>
      <c r="F32" s="9">
        <v>1</v>
      </c>
      <c r="G32" s="9">
        <v>1</v>
      </c>
      <c r="H32" s="9">
        <v>1</v>
      </c>
      <c r="I32" s="34">
        <v>1</v>
      </c>
      <c r="J32" s="33">
        <f t="shared" si="14"/>
        <v>1</v>
      </c>
      <c r="K32" s="9">
        <f t="shared" si="14"/>
        <v>0</v>
      </c>
      <c r="L32" s="13">
        <f t="shared" si="14"/>
        <v>1</v>
      </c>
      <c r="M32" s="13">
        <f t="shared" si="11"/>
        <v>1</v>
      </c>
      <c r="N32" s="13">
        <f t="shared" si="11"/>
        <v>0</v>
      </c>
      <c r="O32" s="13">
        <f t="shared" si="11"/>
        <v>1</v>
      </c>
      <c r="P32" s="34">
        <f t="shared" si="11"/>
        <v>1</v>
      </c>
      <c r="Q32" s="33">
        <f t="shared" si="15"/>
        <v>1</v>
      </c>
      <c r="R32" s="33">
        <f t="shared" si="12"/>
        <v>0</v>
      </c>
      <c r="S32" s="33">
        <f t="shared" si="12"/>
        <v>1</v>
      </c>
      <c r="T32" s="33">
        <f t="shared" si="12"/>
        <v>1</v>
      </c>
      <c r="U32" s="33">
        <f t="shared" si="12"/>
        <v>0</v>
      </c>
      <c r="V32" s="33">
        <f t="shared" si="12"/>
        <v>1</v>
      </c>
      <c r="W32" s="33">
        <f t="shared" si="12"/>
        <v>1</v>
      </c>
      <c r="X32" s="1">
        <f t="shared" si="16"/>
        <v>95</v>
      </c>
      <c r="Y32" s="40" t="s">
        <v>71</v>
      </c>
      <c r="Z32" s="40" t="s">
        <v>72</v>
      </c>
      <c r="AA32" s="43" t="str">
        <f t="shared" si="4"/>
        <v>15</v>
      </c>
      <c r="AB32" s="44">
        <f t="shared" si="10"/>
        <v>31</v>
      </c>
      <c r="AC32" s="44">
        <f t="shared" si="5"/>
        <v>63</v>
      </c>
      <c r="AD32" s="44">
        <f>AA22+$AD$30</f>
        <v>32</v>
      </c>
      <c r="AE32" s="44">
        <f t="shared" si="6"/>
        <v>111</v>
      </c>
      <c r="AF32" s="44">
        <f t="shared" si="7"/>
        <v>127</v>
      </c>
      <c r="AG32" s="49">
        <f t="shared" si="8"/>
        <v>95</v>
      </c>
      <c r="AH32" s="45">
        <f t="shared" si="9"/>
        <v>79</v>
      </c>
    </row>
    <row r="33" spans="1:34" x14ac:dyDescent="0.25">
      <c r="A33" s="1">
        <v>5</v>
      </c>
      <c r="B33" s="1">
        <f t="shared" si="13"/>
        <v>91</v>
      </c>
      <c r="C33" s="33">
        <v>1</v>
      </c>
      <c r="D33" s="9">
        <v>0</v>
      </c>
      <c r="E33" s="9">
        <v>1</v>
      </c>
      <c r="F33" s="9">
        <v>1</v>
      </c>
      <c r="G33" s="9">
        <v>0</v>
      </c>
      <c r="H33" s="9">
        <v>1</v>
      </c>
      <c r="I33" s="34">
        <v>1</v>
      </c>
      <c r="J33" s="33">
        <f t="shared" si="14"/>
        <v>0</v>
      </c>
      <c r="K33" s="9">
        <f t="shared" si="14"/>
        <v>1</v>
      </c>
      <c r="L33" s="13">
        <f t="shared" si="14"/>
        <v>1</v>
      </c>
      <c r="M33" s="13">
        <f t="shared" si="11"/>
        <v>0</v>
      </c>
      <c r="N33" s="13">
        <f t="shared" si="11"/>
        <v>0</v>
      </c>
      <c r="O33" s="13">
        <f t="shared" si="11"/>
        <v>1</v>
      </c>
      <c r="P33" s="34">
        <f t="shared" si="11"/>
        <v>1</v>
      </c>
      <c r="Q33" s="33">
        <f t="shared" si="15"/>
        <v>0</v>
      </c>
      <c r="R33" s="33">
        <f t="shared" si="12"/>
        <v>1</v>
      </c>
      <c r="S33" s="33">
        <f t="shared" si="12"/>
        <v>1</v>
      </c>
      <c r="T33" s="33">
        <f t="shared" si="12"/>
        <v>0</v>
      </c>
      <c r="U33" s="33">
        <f t="shared" si="12"/>
        <v>0</v>
      </c>
      <c r="V33" s="33">
        <f t="shared" si="12"/>
        <v>1</v>
      </c>
      <c r="W33" s="33">
        <f t="shared" si="12"/>
        <v>1</v>
      </c>
      <c r="X33" s="1">
        <f t="shared" si="16"/>
        <v>91</v>
      </c>
      <c r="Y33" s="40" t="s">
        <v>73</v>
      </c>
      <c r="Z33" s="40" t="s">
        <v>74</v>
      </c>
      <c r="AA33" s="43" t="str">
        <f t="shared" si="4"/>
        <v>14</v>
      </c>
      <c r="AB33" s="44">
        <f t="shared" si="10"/>
        <v>30</v>
      </c>
      <c r="AC33" s="44">
        <f t="shared" si="5"/>
        <v>62</v>
      </c>
      <c r="AD33" s="44">
        <f>AA22+$AD$31</f>
        <v>10</v>
      </c>
      <c r="AE33" s="44">
        <f t="shared" si="6"/>
        <v>110</v>
      </c>
      <c r="AF33" s="49">
        <f t="shared" si="7"/>
        <v>126</v>
      </c>
      <c r="AG33" s="44">
        <f t="shared" si="8"/>
        <v>94</v>
      </c>
      <c r="AH33" s="45">
        <f t="shared" si="9"/>
        <v>78</v>
      </c>
    </row>
    <row r="34" spans="1:34" x14ac:dyDescent="0.25">
      <c r="A34" s="1">
        <v>4</v>
      </c>
      <c r="B34" s="1">
        <f t="shared" si="13"/>
        <v>51</v>
      </c>
      <c r="C34" s="33">
        <v>0</v>
      </c>
      <c r="D34" s="9">
        <v>1</v>
      </c>
      <c r="E34" s="9">
        <v>1</v>
      </c>
      <c r="F34" s="9">
        <v>0</v>
      </c>
      <c r="G34" s="9">
        <v>0</v>
      </c>
      <c r="H34" s="9">
        <v>1</v>
      </c>
      <c r="I34" s="34">
        <v>1</v>
      </c>
      <c r="J34" s="33">
        <f t="shared" si="14"/>
        <v>1</v>
      </c>
      <c r="K34" s="9">
        <f t="shared" si="14"/>
        <v>1</v>
      </c>
      <c r="L34" s="13">
        <f t="shared" si="14"/>
        <v>1</v>
      </c>
      <c r="M34" s="13">
        <f t="shared" si="11"/>
        <v>1</v>
      </c>
      <c r="N34" s="13">
        <f t="shared" si="11"/>
        <v>0</v>
      </c>
      <c r="O34" s="13">
        <f t="shared" si="11"/>
        <v>0</v>
      </c>
      <c r="P34" s="34">
        <f t="shared" si="11"/>
        <v>1</v>
      </c>
      <c r="Q34" s="33">
        <f t="shared" si="15"/>
        <v>1</v>
      </c>
      <c r="R34" s="33">
        <f t="shared" si="12"/>
        <v>1</v>
      </c>
      <c r="S34" s="33">
        <f t="shared" si="12"/>
        <v>1</v>
      </c>
      <c r="T34" s="33">
        <f t="shared" si="12"/>
        <v>1</v>
      </c>
      <c r="U34" s="33">
        <f t="shared" si="12"/>
        <v>0</v>
      </c>
      <c r="V34" s="33">
        <f t="shared" si="12"/>
        <v>0</v>
      </c>
      <c r="W34" s="33">
        <f t="shared" si="12"/>
        <v>1</v>
      </c>
      <c r="X34" s="1">
        <f t="shared" si="16"/>
        <v>51</v>
      </c>
      <c r="Y34" s="40" t="s">
        <v>31</v>
      </c>
      <c r="Z34" s="40" t="s">
        <v>75</v>
      </c>
      <c r="AA34" s="43" t="str">
        <f t="shared" si="4"/>
        <v>10</v>
      </c>
      <c r="AB34" s="44">
        <f t="shared" si="10"/>
        <v>26</v>
      </c>
      <c r="AC34" s="44">
        <f t="shared" si="5"/>
        <v>58</v>
      </c>
      <c r="AD34" s="44">
        <f>AA22+$AD$32</f>
        <v>32</v>
      </c>
      <c r="AE34" s="44">
        <f t="shared" si="6"/>
        <v>106</v>
      </c>
      <c r="AF34" s="44">
        <f t="shared" si="7"/>
        <v>122</v>
      </c>
      <c r="AG34" s="44">
        <f t="shared" si="8"/>
        <v>90</v>
      </c>
      <c r="AH34" s="45">
        <f t="shared" si="9"/>
        <v>74</v>
      </c>
    </row>
    <row r="35" spans="1:34" x14ac:dyDescent="0.25">
      <c r="A35" s="1">
        <v>3</v>
      </c>
      <c r="B35" s="1">
        <f t="shared" si="13"/>
        <v>121</v>
      </c>
      <c r="C35" s="33">
        <v>1</v>
      </c>
      <c r="D35" s="9">
        <v>1</v>
      </c>
      <c r="E35" s="9">
        <v>1</v>
      </c>
      <c r="F35" s="9">
        <v>1</v>
      </c>
      <c r="G35" s="9">
        <v>0</v>
      </c>
      <c r="H35" s="9">
        <v>0</v>
      </c>
      <c r="I35" s="34">
        <v>1</v>
      </c>
      <c r="J35" s="33">
        <f t="shared" si="14"/>
        <v>1</v>
      </c>
      <c r="K35" s="9">
        <f t="shared" si="14"/>
        <v>1</v>
      </c>
      <c r="L35" s="13">
        <f t="shared" si="14"/>
        <v>0</v>
      </c>
      <c r="M35" s="13">
        <f t="shared" si="11"/>
        <v>1</v>
      </c>
      <c r="N35" s="13">
        <f t="shared" si="11"/>
        <v>1</v>
      </c>
      <c r="O35" s="13">
        <f t="shared" si="11"/>
        <v>0</v>
      </c>
      <c r="P35" s="34">
        <f t="shared" si="11"/>
        <v>1</v>
      </c>
      <c r="Q35" s="33">
        <f t="shared" si="15"/>
        <v>1</v>
      </c>
      <c r="R35" s="33">
        <f t="shared" si="12"/>
        <v>1</v>
      </c>
      <c r="S35" s="33">
        <f t="shared" si="12"/>
        <v>0</v>
      </c>
      <c r="T35" s="33">
        <f t="shared" si="12"/>
        <v>1</v>
      </c>
      <c r="U35" s="33">
        <f t="shared" si="12"/>
        <v>1</v>
      </c>
      <c r="V35" s="33">
        <f t="shared" si="12"/>
        <v>0</v>
      </c>
      <c r="W35" s="33">
        <f t="shared" si="12"/>
        <v>1</v>
      </c>
      <c r="X35" s="1">
        <f t="shared" si="16"/>
        <v>121</v>
      </c>
      <c r="Y35" s="40" t="s">
        <v>30</v>
      </c>
      <c r="Z35" s="40" t="s">
        <v>76</v>
      </c>
      <c r="AA35" s="43" t="str">
        <f t="shared" si="4"/>
        <v>11</v>
      </c>
      <c r="AB35" s="44">
        <f t="shared" si="10"/>
        <v>27</v>
      </c>
      <c r="AC35" s="44">
        <f t="shared" si="5"/>
        <v>59</v>
      </c>
      <c r="AD35" s="44">
        <f>AA22+$AD$33</f>
        <v>10</v>
      </c>
      <c r="AE35" s="44">
        <f t="shared" si="6"/>
        <v>107</v>
      </c>
      <c r="AF35" s="49">
        <f t="shared" si="7"/>
        <v>123</v>
      </c>
      <c r="AG35" s="49">
        <f t="shared" si="8"/>
        <v>91</v>
      </c>
      <c r="AH35" s="45">
        <f t="shared" si="9"/>
        <v>75</v>
      </c>
    </row>
    <row r="36" spans="1:34" x14ac:dyDescent="0.25">
      <c r="A36" s="1">
        <v>2</v>
      </c>
      <c r="B36" s="1">
        <f t="shared" si="13"/>
        <v>109</v>
      </c>
      <c r="C36" s="33">
        <v>1</v>
      </c>
      <c r="D36" s="9">
        <v>1</v>
      </c>
      <c r="E36" s="9">
        <v>0</v>
      </c>
      <c r="F36" s="9">
        <v>1</v>
      </c>
      <c r="G36" s="9">
        <v>1</v>
      </c>
      <c r="H36" s="9">
        <v>0</v>
      </c>
      <c r="I36" s="34">
        <v>1</v>
      </c>
      <c r="J36" s="33">
        <f t="shared" si="14"/>
        <v>0</v>
      </c>
      <c r="K36" s="9">
        <f t="shared" si="14"/>
        <v>1</v>
      </c>
      <c r="L36" s="13">
        <f t="shared" si="14"/>
        <v>1</v>
      </c>
      <c r="M36" s="13">
        <f t="shared" si="11"/>
        <v>0</v>
      </c>
      <c r="N36" s="13">
        <f t="shared" si="11"/>
        <v>0</v>
      </c>
      <c r="O36" s="13">
        <f t="shared" si="11"/>
        <v>0</v>
      </c>
      <c r="P36" s="34">
        <f t="shared" si="11"/>
        <v>0</v>
      </c>
      <c r="Q36" s="33">
        <f t="shared" si="15"/>
        <v>0</v>
      </c>
      <c r="R36" s="33">
        <f t="shared" si="12"/>
        <v>1</v>
      </c>
      <c r="S36" s="33">
        <f t="shared" si="12"/>
        <v>1</v>
      </c>
      <c r="T36" s="33">
        <f t="shared" si="12"/>
        <v>0</v>
      </c>
      <c r="U36" s="33">
        <f t="shared" si="12"/>
        <v>0</v>
      </c>
      <c r="V36" s="33">
        <f t="shared" si="12"/>
        <v>0</v>
      </c>
      <c r="W36" s="33">
        <f t="shared" si="12"/>
        <v>0</v>
      </c>
      <c r="X36" s="1">
        <f t="shared" si="16"/>
        <v>109</v>
      </c>
      <c r="Y36" s="40" t="s">
        <v>77</v>
      </c>
      <c r="Z36" s="40" t="s">
        <v>78</v>
      </c>
      <c r="AA36" s="43" t="str">
        <f t="shared" si="4"/>
        <v>9</v>
      </c>
      <c r="AB36" s="44">
        <f t="shared" si="10"/>
        <v>25</v>
      </c>
      <c r="AC36" s="44">
        <f t="shared" si="5"/>
        <v>57</v>
      </c>
      <c r="AD36" s="44">
        <f>AA22+$AD$34</f>
        <v>32</v>
      </c>
      <c r="AE36" s="44">
        <f t="shared" si="6"/>
        <v>105</v>
      </c>
      <c r="AF36" s="49">
        <f t="shared" si="7"/>
        <v>121</v>
      </c>
      <c r="AG36" s="44">
        <f t="shared" si="8"/>
        <v>89</v>
      </c>
      <c r="AH36" s="45">
        <f t="shared" si="9"/>
        <v>73</v>
      </c>
    </row>
    <row r="37" spans="1:34" ht="15.75" thickBot="1" x14ac:dyDescent="0.3">
      <c r="A37" s="1">
        <v>1</v>
      </c>
      <c r="B37" s="1">
        <f t="shared" si="13"/>
        <v>48</v>
      </c>
      <c r="C37" s="33">
        <v>0</v>
      </c>
      <c r="D37" s="9">
        <v>1</v>
      </c>
      <c r="E37" s="9">
        <v>1</v>
      </c>
      <c r="F37" s="9">
        <v>0</v>
      </c>
      <c r="G37" s="9">
        <v>0</v>
      </c>
      <c r="H37" s="9">
        <v>0</v>
      </c>
      <c r="I37" s="34">
        <v>0</v>
      </c>
      <c r="J37" s="33">
        <f t="shared" si="14"/>
        <v>1</v>
      </c>
      <c r="K37" s="9">
        <f t="shared" si="14"/>
        <v>1</v>
      </c>
      <c r="L37" s="13">
        <f t="shared" si="14"/>
        <v>1</v>
      </c>
      <c r="M37" s="13">
        <f t="shared" si="11"/>
        <v>1</v>
      </c>
      <c r="N37" s="13">
        <f t="shared" si="11"/>
        <v>1</v>
      </c>
      <c r="O37" s="13">
        <f t="shared" si="11"/>
        <v>1</v>
      </c>
      <c r="P37" s="34">
        <f t="shared" si="11"/>
        <v>0</v>
      </c>
      <c r="Q37" s="33">
        <f t="shared" si="15"/>
        <v>1</v>
      </c>
      <c r="R37" s="33">
        <f t="shared" si="12"/>
        <v>1</v>
      </c>
      <c r="S37" s="33">
        <f t="shared" si="12"/>
        <v>1</v>
      </c>
      <c r="T37" s="33">
        <f t="shared" si="12"/>
        <v>1</v>
      </c>
      <c r="U37" s="33">
        <f t="shared" si="12"/>
        <v>1</v>
      </c>
      <c r="V37" s="33">
        <f t="shared" si="12"/>
        <v>1</v>
      </c>
      <c r="W37" s="33">
        <f t="shared" si="12"/>
        <v>0</v>
      </c>
      <c r="X37" s="1">
        <f t="shared" si="16"/>
        <v>48</v>
      </c>
      <c r="Y37" s="40" t="s">
        <v>79</v>
      </c>
      <c r="Z37" s="40" t="s">
        <v>80</v>
      </c>
      <c r="AA37" s="46" t="str">
        <f t="shared" si="4"/>
        <v>8</v>
      </c>
      <c r="AB37" s="47">
        <f t="shared" si="10"/>
        <v>24</v>
      </c>
      <c r="AC37" s="47">
        <f t="shared" si="5"/>
        <v>56</v>
      </c>
      <c r="AD37" s="47">
        <f>AA22+$AD$35</f>
        <v>10</v>
      </c>
      <c r="AE37" s="47">
        <f t="shared" si="6"/>
        <v>104</v>
      </c>
      <c r="AF37" s="47">
        <f t="shared" si="7"/>
        <v>120</v>
      </c>
      <c r="AG37" s="47">
        <f t="shared" si="8"/>
        <v>88</v>
      </c>
      <c r="AH37" s="48">
        <f t="shared" si="9"/>
        <v>72</v>
      </c>
    </row>
    <row r="38" spans="1:34" x14ac:dyDescent="0.25">
      <c r="A38" s="1">
        <v>0</v>
      </c>
      <c r="B38" s="1">
        <f t="shared" si="13"/>
        <v>126</v>
      </c>
      <c r="C38" s="33">
        <v>1</v>
      </c>
      <c r="D38" s="9">
        <v>1</v>
      </c>
      <c r="E38" s="9">
        <v>1</v>
      </c>
      <c r="F38" s="9">
        <v>1</v>
      </c>
      <c r="G38" s="9">
        <v>1</v>
      </c>
      <c r="H38" s="9">
        <v>1</v>
      </c>
      <c r="I38" s="34">
        <v>0</v>
      </c>
      <c r="J38" s="33">
        <f t="shared" si="14"/>
        <v>1</v>
      </c>
      <c r="K38" s="9">
        <f t="shared" si="14"/>
        <v>1</v>
      </c>
      <c r="L38" s="13">
        <f t="shared" si="14"/>
        <v>1</v>
      </c>
      <c r="M38" s="13">
        <f t="shared" si="11"/>
        <v>1</v>
      </c>
      <c r="N38" s="13">
        <f t="shared" si="11"/>
        <v>0</v>
      </c>
      <c r="O38" s="13">
        <f t="shared" si="11"/>
        <v>1</v>
      </c>
      <c r="P38" s="34">
        <f t="shared" si="11"/>
        <v>1</v>
      </c>
      <c r="Q38" s="33">
        <f t="shared" si="15"/>
        <v>1</v>
      </c>
      <c r="R38" s="33">
        <f t="shared" si="12"/>
        <v>1</v>
      </c>
      <c r="S38" s="33">
        <f t="shared" si="12"/>
        <v>1</v>
      </c>
      <c r="T38" s="33">
        <f t="shared" si="12"/>
        <v>1</v>
      </c>
      <c r="U38" s="33">
        <f t="shared" si="12"/>
        <v>0</v>
      </c>
      <c r="V38" s="33">
        <f t="shared" si="12"/>
        <v>1</v>
      </c>
      <c r="W38" s="33">
        <f t="shared" si="12"/>
        <v>1</v>
      </c>
      <c r="X38" s="1">
        <f t="shared" si="16"/>
        <v>126</v>
      </c>
    </row>
    <row r="39" spans="1:34" ht="15.75" thickBot="1" x14ac:dyDescent="0.3">
      <c r="A39" s="18">
        <v>9</v>
      </c>
      <c r="B39" s="1">
        <f t="shared" si="13"/>
        <v>123</v>
      </c>
      <c r="C39" s="36">
        <v>1</v>
      </c>
      <c r="D39" s="37">
        <v>1</v>
      </c>
      <c r="E39" s="37">
        <v>1</v>
      </c>
      <c r="F39" s="37">
        <v>1</v>
      </c>
      <c r="G39" s="37">
        <v>0</v>
      </c>
      <c r="H39" s="37">
        <v>1</v>
      </c>
      <c r="I39" s="38">
        <v>1</v>
      </c>
      <c r="J39" s="36"/>
      <c r="K39" s="37"/>
      <c r="L39" s="39"/>
      <c r="M39" s="39"/>
      <c r="N39" s="39"/>
      <c r="O39" s="39"/>
      <c r="P39" s="38"/>
      <c r="Q39" s="36"/>
      <c r="R39" s="37"/>
      <c r="S39" s="37"/>
      <c r="T39" s="37"/>
      <c r="U39" s="37"/>
      <c r="V39" s="37"/>
      <c r="W39" s="38"/>
    </row>
    <row r="40" spans="1:34" x14ac:dyDescent="0.25">
      <c r="C40" s="33"/>
      <c r="D40" s="9"/>
      <c r="E40" s="9"/>
      <c r="F40" s="9"/>
      <c r="G40" s="9"/>
      <c r="H40" s="9"/>
      <c r="I40" s="34"/>
      <c r="J40" s="33"/>
      <c r="K40" s="9"/>
      <c r="L40" s="13"/>
      <c r="M40" s="13"/>
      <c r="N40" s="13"/>
      <c r="O40" s="13"/>
      <c r="P40" s="34"/>
      <c r="Q40" s="35"/>
      <c r="R40" s="9"/>
      <c r="S40" s="9"/>
      <c r="T40" s="9"/>
      <c r="U40" s="9"/>
      <c r="V40" s="9"/>
      <c r="W40" s="34"/>
      <c r="Z40" s="1" t="s">
        <v>98</v>
      </c>
      <c r="AA40" s="51" t="s">
        <v>99</v>
      </c>
    </row>
    <row r="41" spans="1:34" x14ac:dyDescent="0.25">
      <c r="C41" s="33"/>
      <c r="D41" s="9"/>
      <c r="E41" s="9"/>
      <c r="F41" s="9"/>
      <c r="G41" s="9"/>
      <c r="H41" s="9"/>
      <c r="I41" s="34"/>
      <c r="J41" s="33"/>
      <c r="K41" s="9"/>
      <c r="L41" s="13"/>
      <c r="M41" s="13"/>
      <c r="N41" s="13"/>
      <c r="O41" s="13"/>
      <c r="P41" s="34"/>
      <c r="Q41" s="35"/>
      <c r="R41" s="9"/>
      <c r="S41" s="9"/>
      <c r="T41" s="9"/>
      <c r="U41" s="9"/>
      <c r="V41" s="9"/>
      <c r="W41" s="34"/>
      <c r="AA41" s="51" t="s">
        <v>100</v>
      </c>
    </row>
    <row r="42" spans="1:34" x14ac:dyDescent="0.25">
      <c r="C42" s="33"/>
      <c r="D42" s="9"/>
      <c r="E42" s="9"/>
      <c r="F42" s="9"/>
      <c r="G42" s="9"/>
      <c r="H42" s="9"/>
      <c r="I42" s="34"/>
      <c r="J42" s="33"/>
      <c r="K42" s="9"/>
      <c r="L42" s="13"/>
      <c r="M42" s="13"/>
      <c r="N42" s="13"/>
      <c r="O42" s="13"/>
      <c r="P42" s="34"/>
      <c r="Q42" s="33"/>
      <c r="R42" s="9"/>
      <c r="S42" s="9"/>
      <c r="T42" s="9"/>
      <c r="U42" s="9"/>
      <c r="V42" s="9"/>
      <c r="W42" s="34"/>
      <c r="AA42" s="51" t="s">
        <v>101</v>
      </c>
    </row>
    <row r="43" spans="1:34" x14ac:dyDescent="0.25">
      <c r="C43" s="33"/>
      <c r="D43" s="9"/>
      <c r="E43" s="9"/>
      <c r="F43" s="9"/>
      <c r="G43" s="9"/>
      <c r="H43" s="9"/>
      <c r="I43" s="34"/>
      <c r="J43" s="33"/>
      <c r="K43" s="9"/>
      <c r="L43" s="9"/>
      <c r="M43" s="9"/>
      <c r="N43" s="9"/>
      <c r="O43" s="9"/>
      <c r="P43" s="34"/>
      <c r="Q43" s="33"/>
      <c r="R43" s="9"/>
      <c r="S43" s="9"/>
      <c r="T43" s="9"/>
      <c r="U43" s="9"/>
      <c r="V43" s="9"/>
      <c r="W43" s="34"/>
      <c r="AA43" s="51" t="s">
        <v>102</v>
      </c>
    </row>
    <row r="44" spans="1:34" ht="15.75" thickBot="1" x14ac:dyDescent="0.3">
      <c r="C44" s="8"/>
      <c r="D44" s="14"/>
      <c r="E44" s="14"/>
      <c r="F44" s="14"/>
      <c r="G44" s="14"/>
      <c r="H44" s="14"/>
      <c r="I44" s="17"/>
      <c r="J44" s="8"/>
      <c r="K44" s="14"/>
      <c r="L44" s="14"/>
      <c r="M44" s="14"/>
      <c r="N44" s="14"/>
      <c r="O44" s="14"/>
      <c r="P44" s="17"/>
      <c r="Q44" s="8"/>
      <c r="R44" s="14"/>
      <c r="S44" s="14"/>
      <c r="T44" s="14"/>
      <c r="U44" s="14"/>
      <c r="V44" s="14"/>
      <c r="W44" s="17"/>
      <c r="AA44" s="51" t="s">
        <v>103</v>
      </c>
    </row>
    <row r="45" spans="1:34" x14ac:dyDescent="0.25">
      <c r="AA45" s="51" t="s">
        <v>104</v>
      </c>
    </row>
    <row r="46" spans="1:34" x14ac:dyDescent="0.25">
      <c r="AA46" s="51"/>
    </row>
    <row r="47" spans="1:34" x14ac:dyDescent="0.25">
      <c r="AA47" s="51"/>
    </row>
    <row r="48" spans="1:34" x14ac:dyDescent="0.25">
      <c r="AA48" s="51"/>
    </row>
    <row r="51" spans="27:27" x14ac:dyDescent="0.25">
      <c r="AA51" s="10"/>
    </row>
  </sheetData>
  <mergeCells count="3">
    <mergeCell ref="C27:I27"/>
    <mergeCell ref="J27:P27"/>
    <mergeCell ref="Q27:W27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4:AM51"/>
  <sheetViews>
    <sheetView topLeftCell="A12" workbookViewId="0">
      <selection activeCell="AM19" sqref="AM19"/>
    </sheetView>
  </sheetViews>
  <sheetFormatPr defaultRowHeight="15" x14ac:dyDescent="0.25"/>
  <cols>
    <col min="1" max="38" width="9.140625" style="1"/>
    <col min="39" max="39" width="15.140625" style="1" bestFit="1" customWidth="1"/>
    <col min="40" max="16384" width="9.140625" style="1"/>
  </cols>
  <sheetData>
    <row r="4" spans="3:33" ht="15.75" thickBot="1" x14ac:dyDescent="0.3">
      <c r="C4" t="s">
        <v>10</v>
      </c>
    </row>
    <row r="5" spans="3:33" ht="15.75" thickBot="1" x14ac:dyDescent="0.3">
      <c r="X5" s="4" t="s">
        <v>0</v>
      </c>
      <c r="Y5" s="3" t="s">
        <v>1</v>
      </c>
      <c r="Z5" s="3" t="s">
        <v>2</v>
      </c>
      <c r="AA5" s="4" t="s">
        <v>3</v>
      </c>
      <c r="AB5" s="3" t="s">
        <v>4</v>
      </c>
      <c r="AC5" s="4" t="s">
        <v>5</v>
      </c>
      <c r="AD5" s="3" t="s">
        <v>6</v>
      </c>
      <c r="AE5" s="4" t="s">
        <v>7</v>
      </c>
      <c r="AG5" s="7" t="s">
        <v>8</v>
      </c>
    </row>
    <row r="6" spans="3:33" x14ac:dyDescent="0.25">
      <c r="C6" s="10" t="s">
        <v>9</v>
      </c>
      <c r="I6" s="10" t="s">
        <v>14</v>
      </c>
      <c r="X6" s="5">
        <v>0</v>
      </c>
      <c r="Y6" s="9">
        <f>AG6</f>
        <v>0</v>
      </c>
      <c r="Z6" s="9">
        <v>0</v>
      </c>
      <c r="AA6" s="5">
        <v>1</v>
      </c>
      <c r="AB6" s="9">
        <v>0</v>
      </c>
      <c r="AC6" s="5">
        <v>1</v>
      </c>
      <c r="AD6" s="9">
        <v>1</v>
      </c>
      <c r="AE6" s="5">
        <v>1</v>
      </c>
      <c r="AG6" s="1">
        <f>doXOR3(AA6,AC6,AE6)</f>
        <v>0</v>
      </c>
    </row>
    <row r="7" spans="3:33" x14ac:dyDescent="0.25">
      <c r="X7" s="5">
        <v>1</v>
      </c>
      <c r="Y7" s="9">
        <f>AG7</f>
        <v>1</v>
      </c>
      <c r="Z7" s="9">
        <f>Y6</f>
        <v>0</v>
      </c>
      <c r="AA7" s="5">
        <f>Z6</f>
        <v>0</v>
      </c>
      <c r="AB7" s="9">
        <f t="shared" ref="AB7:AE11" si="0">AA6</f>
        <v>1</v>
      </c>
      <c r="AC7" s="5">
        <f t="shared" si="0"/>
        <v>0</v>
      </c>
      <c r="AD7" s="9">
        <f t="shared" si="0"/>
        <v>1</v>
      </c>
      <c r="AE7" s="5">
        <f t="shared" si="0"/>
        <v>1</v>
      </c>
      <c r="AG7" s="1">
        <f t="shared" ref="AG7:AG11" si="1">doXOR3(AA7,AC7,AE7)</f>
        <v>1</v>
      </c>
    </row>
    <row r="8" spans="3:33" ht="15.75" thickBot="1" x14ac:dyDescent="0.3">
      <c r="X8" s="5">
        <v>2</v>
      </c>
      <c r="Y8" s="9">
        <f t="shared" ref="Y8:Y11" si="2">AG8</f>
        <v>0</v>
      </c>
      <c r="Z8" s="9">
        <f t="shared" ref="Z8:AA11" si="3">Y7</f>
        <v>1</v>
      </c>
      <c r="AA8" s="5">
        <f t="shared" si="3"/>
        <v>0</v>
      </c>
      <c r="AB8" s="9">
        <f t="shared" si="0"/>
        <v>0</v>
      </c>
      <c r="AC8" s="5">
        <f t="shared" si="0"/>
        <v>1</v>
      </c>
      <c r="AD8" s="9">
        <f t="shared" si="0"/>
        <v>0</v>
      </c>
      <c r="AE8" s="5">
        <f t="shared" si="0"/>
        <v>1</v>
      </c>
      <c r="AG8" s="1">
        <f t="shared" si="1"/>
        <v>0</v>
      </c>
    </row>
    <row r="9" spans="3:33" ht="15.75" thickBot="1" x14ac:dyDescent="0.3">
      <c r="C9" s="2" t="s">
        <v>11</v>
      </c>
      <c r="D9" s="3" t="s">
        <v>19</v>
      </c>
      <c r="E9" s="3" t="s">
        <v>18</v>
      </c>
      <c r="I9" s="2" t="s">
        <v>11</v>
      </c>
      <c r="J9" s="3" t="s">
        <v>19</v>
      </c>
      <c r="K9" s="3" t="s">
        <v>18</v>
      </c>
      <c r="X9" s="5">
        <v>3</v>
      </c>
      <c r="Y9" s="9">
        <f t="shared" si="2"/>
        <v>1</v>
      </c>
      <c r="Z9" s="9">
        <f t="shared" si="3"/>
        <v>0</v>
      </c>
      <c r="AA9" s="5">
        <f t="shared" si="3"/>
        <v>1</v>
      </c>
      <c r="AB9" s="9">
        <f t="shared" si="0"/>
        <v>0</v>
      </c>
      <c r="AC9" s="5">
        <f t="shared" si="0"/>
        <v>0</v>
      </c>
      <c r="AD9" s="9">
        <f t="shared" si="0"/>
        <v>1</v>
      </c>
      <c r="AE9" s="5">
        <f t="shared" si="0"/>
        <v>0</v>
      </c>
      <c r="AG9" s="1">
        <f t="shared" si="1"/>
        <v>1</v>
      </c>
    </row>
    <row r="10" spans="3:33" x14ac:dyDescent="0.25">
      <c r="C10" s="1">
        <v>0</v>
      </c>
      <c r="D10" s="1">
        <v>0</v>
      </c>
      <c r="E10" s="12">
        <v>0</v>
      </c>
      <c r="F10" s="1" t="s">
        <v>12</v>
      </c>
      <c r="I10" s="1">
        <v>0</v>
      </c>
      <c r="J10" s="1">
        <v>0</v>
      </c>
      <c r="K10" s="12">
        <v>0</v>
      </c>
      <c r="L10" s="1" t="s">
        <v>15</v>
      </c>
      <c r="X10" s="5">
        <v>4</v>
      </c>
      <c r="Y10" s="9">
        <f t="shared" si="2"/>
        <v>1</v>
      </c>
      <c r="Z10" s="9">
        <f t="shared" si="3"/>
        <v>1</v>
      </c>
      <c r="AA10" s="5">
        <f t="shared" si="3"/>
        <v>0</v>
      </c>
      <c r="AB10" s="9">
        <f t="shared" si="0"/>
        <v>1</v>
      </c>
      <c r="AC10" s="5">
        <f t="shared" si="0"/>
        <v>0</v>
      </c>
      <c r="AD10" s="9">
        <f t="shared" si="0"/>
        <v>0</v>
      </c>
      <c r="AE10" s="5">
        <f t="shared" si="0"/>
        <v>1</v>
      </c>
      <c r="AG10" s="1">
        <f t="shared" si="1"/>
        <v>1</v>
      </c>
    </row>
    <row r="11" spans="3:33" ht="15.75" thickBot="1" x14ac:dyDescent="0.3">
      <c r="C11" s="1">
        <v>0</v>
      </c>
      <c r="D11" s="1">
        <v>1</v>
      </c>
      <c r="E11" s="12">
        <v>0</v>
      </c>
      <c r="F11" s="1" t="s">
        <v>12</v>
      </c>
      <c r="I11" s="1">
        <v>0</v>
      </c>
      <c r="J11" s="1">
        <v>1</v>
      </c>
      <c r="K11" s="12">
        <v>1</v>
      </c>
      <c r="L11" s="1" t="s">
        <v>15</v>
      </c>
      <c r="X11" s="6">
        <v>5</v>
      </c>
      <c r="Y11" s="9">
        <f t="shared" si="2"/>
        <v>0</v>
      </c>
      <c r="Z11" s="9">
        <f t="shared" si="3"/>
        <v>1</v>
      </c>
      <c r="AA11" s="6">
        <f t="shared" si="3"/>
        <v>1</v>
      </c>
      <c r="AB11" s="9">
        <f t="shared" si="0"/>
        <v>0</v>
      </c>
      <c r="AC11" s="6">
        <f t="shared" si="0"/>
        <v>1</v>
      </c>
      <c r="AD11" s="9">
        <f t="shared" si="0"/>
        <v>0</v>
      </c>
      <c r="AE11" s="6">
        <f t="shared" si="0"/>
        <v>0</v>
      </c>
      <c r="AG11" s="1">
        <f t="shared" si="1"/>
        <v>0</v>
      </c>
    </row>
    <row r="12" spans="3:33" x14ac:dyDescent="0.25">
      <c r="C12" s="1">
        <v>1</v>
      </c>
      <c r="D12" s="1">
        <v>0</v>
      </c>
      <c r="E12" s="12">
        <v>1</v>
      </c>
      <c r="F12" s="1" t="s">
        <v>13</v>
      </c>
      <c r="I12" s="1">
        <v>1</v>
      </c>
      <c r="J12" s="1">
        <v>0</v>
      </c>
      <c r="K12" s="12">
        <v>0</v>
      </c>
      <c r="L12" s="1" t="s">
        <v>16</v>
      </c>
    </row>
    <row r="13" spans="3:33" x14ac:dyDescent="0.25">
      <c r="C13" s="1">
        <v>1</v>
      </c>
      <c r="D13" s="1">
        <v>1</v>
      </c>
      <c r="E13" s="12">
        <v>1</v>
      </c>
      <c r="F13" s="1" t="s">
        <v>13</v>
      </c>
      <c r="I13" s="1">
        <v>1</v>
      </c>
      <c r="J13" s="1">
        <v>1</v>
      </c>
      <c r="K13" s="12">
        <v>1</v>
      </c>
      <c r="L13" s="1" t="s">
        <v>16</v>
      </c>
    </row>
    <row r="16" spans="3:33" ht="15.75" thickBot="1" x14ac:dyDescent="0.3">
      <c r="C16" t="s">
        <v>17</v>
      </c>
      <c r="Z16" s="10" t="s">
        <v>36</v>
      </c>
    </row>
    <row r="17" spans="1:39" ht="15.75" thickBot="1" x14ac:dyDescent="0.3">
      <c r="C17" s="2" t="s">
        <v>19</v>
      </c>
      <c r="D17" s="3" t="s">
        <v>18</v>
      </c>
      <c r="E17" s="11" t="s">
        <v>11</v>
      </c>
      <c r="AM17" s="1" t="s">
        <v>105</v>
      </c>
    </row>
    <row r="18" spans="1:39" x14ac:dyDescent="0.25">
      <c r="C18" s="1">
        <v>0</v>
      </c>
      <c r="D18" s="1">
        <v>0</v>
      </c>
      <c r="E18" s="12">
        <v>0</v>
      </c>
      <c r="Z18" s="25" t="s">
        <v>88</v>
      </c>
    </row>
    <row r="19" spans="1:39" x14ac:dyDescent="0.25">
      <c r="C19" s="1">
        <v>0</v>
      </c>
      <c r="D19" s="1">
        <v>1</v>
      </c>
      <c r="E19" s="12">
        <v>1</v>
      </c>
      <c r="AA19" s="1" t="s">
        <v>50</v>
      </c>
    </row>
    <row r="20" spans="1:39" x14ac:dyDescent="0.25">
      <c r="C20" s="1">
        <v>1</v>
      </c>
      <c r="D20" s="1">
        <v>0</v>
      </c>
      <c r="E20" s="12">
        <v>0</v>
      </c>
      <c r="AA20" s="40" t="s">
        <v>51</v>
      </c>
      <c r="AB20" s="40" t="s">
        <v>90</v>
      </c>
      <c r="AC20" s="40" t="s">
        <v>91</v>
      </c>
      <c r="AD20" s="40" t="s">
        <v>92</v>
      </c>
      <c r="AE20" s="40" t="s">
        <v>93</v>
      </c>
      <c r="AF20" s="40" t="s">
        <v>94</v>
      </c>
      <c r="AG20" s="40" t="s">
        <v>96</v>
      </c>
      <c r="AH20" s="40" t="s">
        <v>97</v>
      </c>
    </row>
    <row r="21" spans="1:39" ht="15.75" thickBot="1" x14ac:dyDescent="0.3">
      <c r="C21" s="1">
        <v>1</v>
      </c>
      <c r="D21" s="1">
        <v>1</v>
      </c>
      <c r="E21" s="12">
        <v>1</v>
      </c>
      <c r="Z21" s="18" t="s">
        <v>49</v>
      </c>
      <c r="AA21" s="40" t="s">
        <v>81</v>
      </c>
      <c r="AB21" s="40" t="s">
        <v>82</v>
      </c>
      <c r="AC21" s="40" t="s">
        <v>83</v>
      </c>
      <c r="AD21" s="40" t="s">
        <v>84</v>
      </c>
      <c r="AE21" s="40" t="s">
        <v>85</v>
      </c>
      <c r="AF21" s="40" t="s">
        <v>86</v>
      </c>
      <c r="AG21" s="40" t="s">
        <v>95</v>
      </c>
      <c r="AH21" s="40" t="s">
        <v>87</v>
      </c>
    </row>
    <row r="22" spans="1:39" x14ac:dyDescent="0.25">
      <c r="Y22" s="40" t="s">
        <v>51</v>
      </c>
      <c r="Z22" s="40" t="s">
        <v>52</v>
      </c>
      <c r="AA22" s="41" t="str">
        <f>Y22</f>
        <v>0</v>
      </c>
      <c r="AB22" s="42">
        <f>$AA$22+$AB$20</f>
        <v>16</v>
      </c>
      <c r="AC22" s="42">
        <f>AA22+$AC$20</f>
        <v>48</v>
      </c>
      <c r="AD22" s="42">
        <f>AA22+$AD$20</f>
        <v>32</v>
      </c>
      <c r="AE22" s="42">
        <f>AA22+$AE$20</f>
        <v>96</v>
      </c>
      <c r="AF22" s="50">
        <f>AA22+$AF$20</f>
        <v>112</v>
      </c>
      <c r="AG22" s="42">
        <f>AA22+$AG$20</f>
        <v>80</v>
      </c>
      <c r="AH22" s="42">
        <f>AA22+$AH$20</f>
        <v>64</v>
      </c>
    </row>
    <row r="23" spans="1:39" x14ac:dyDescent="0.25">
      <c r="Y23" s="40" t="s">
        <v>53</v>
      </c>
      <c r="Z23" s="40" t="s">
        <v>54</v>
      </c>
      <c r="AA23" s="43" t="str">
        <f t="shared" ref="AA23:AA37" si="4">Y23</f>
        <v>1</v>
      </c>
      <c r="AB23" s="44">
        <f>AA23+$AB$20</f>
        <v>17</v>
      </c>
      <c r="AC23" s="44">
        <f t="shared" ref="AC23:AC37" si="5">AA23+$AC$20</f>
        <v>49</v>
      </c>
      <c r="AD23" s="44">
        <f>AA22+$AD$21</f>
        <v>10</v>
      </c>
      <c r="AE23" s="44">
        <f t="shared" ref="AE23:AE37" si="6">AA23+$AE$20</f>
        <v>97</v>
      </c>
      <c r="AF23" s="44">
        <f t="shared" ref="AF23:AF37" si="7">AA23+$AF$20</f>
        <v>113</v>
      </c>
      <c r="AG23" s="44">
        <f t="shared" ref="AG23:AG37" si="8">AA23+$AG$20</f>
        <v>81</v>
      </c>
      <c r="AH23" s="45">
        <f t="shared" ref="AH23:AH37" si="9">AA23+$AH$20</f>
        <v>65</v>
      </c>
    </row>
    <row r="24" spans="1:39" x14ac:dyDescent="0.25">
      <c r="Y24" s="40" t="s">
        <v>55</v>
      </c>
      <c r="Z24" s="40" t="s">
        <v>56</v>
      </c>
      <c r="AA24" s="43" t="str">
        <f t="shared" si="4"/>
        <v>3</v>
      </c>
      <c r="AB24" s="44">
        <f t="shared" ref="AB24:AB37" si="10">AA24+$AB$20</f>
        <v>19</v>
      </c>
      <c r="AC24" s="49">
        <f t="shared" si="5"/>
        <v>51</v>
      </c>
      <c r="AD24" s="44">
        <f>AA22+$AD$22</f>
        <v>32</v>
      </c>
      <c r="AE24" s="44">
        <f t="shared" si="6"/>
        <v>99</v>
      </c>
      <c r="AF24" s="44">
        <f t="shared" si="7"/>
        <v>115</v>
      </c>
      <c r="AG24" s="44">
        <f t="shared" si="8"/>
        <v>83</v>
      </c>
      <c r="AH24" s="45">
        <f t="shared" si="9"/>
        <v>67</v>
      </c>
    </row>
    <row r="25" spans="1:39" x14ac:dyDescent="0.25">
      <c r="C25" s="10" t="s">
        <v>20</v>
      </c>
      <c r="Y25" s="40" t="s">
        <v>57</v>
      </c>
      <c r="Z25" s="40" t="s">
        <v>58</v>
      </c>
      <c r="AA25" s="43" t="str">
        <f t="shared" si="4"/>
        <v>2</v>
      </c>
      <c r="AB25" s="44">
        <f t="shared" si="10"/>
        <v>18</v>
      </c>
      <c r="AC25" s="44">
        <f t="shared" si="5"/>
        <v>50</v>
      </c>
      <c r="AD25" s="44">
        <f>AA22+$AD$23</f>
        <v>10</v>
      </c>
      <c r="AE25" s="44">
        <f t="shared" si="6"/>
        <v>98</v>
      </c>
      <c r="AF25" s="44">
        <f t="shared" si="7"/>
        <v>114</v>
      </c>
      <c r="AG25" s="44">
        <f t="shared" si="8"/>
        <v>82</v>
      </c>
      <c r="AH25" s="45">
        <f t="shared" si="9"/>
        <v>66</v>
      </c>
    </row>
    <row r="26" spans="1:39" ht="15.75" thickBot="1" x14ac:dyDescent="0.3">
      <c r="Y26" s="40" t="s">
        <v>59</v>
      </c>
      <c r="Z26" s="40" t="s">
        <v>60</v>
      </c>
      <c r="AA26" s="43" t="str">
        <f t="shared" si="4"/>
        <v>6</v>
      </c>
      <c r="AB26" s="44">
        <f>AA26+$AB$20</f>
        <v>22</v>
      </c>
      <c r="AC26" s="44">
        <f t="shared" si="5"/>
        <v>54</v>
      </c>
      <c r="AD26" s="44">
        <f>AA22+$AD$24</f>
        <v>32</v>
      </c>
      <c r="AE26" s="44">
        <f t="shared" si="6"/>
        <v>102</v>
      </c>
      <c r="AF26" s="44">
        <f t="shared" si="7"/>
        <v>118</v>
      </c>
      <c r="AG26" s="44">
        <f t="shared" si="8"/>
        <v>86</v>
      </c>
      <c r="AH26" s="45">
        <f t="shared" si="9"/>
        <v>70</v>
      </c>
    </row>
    <row r="27" spans="1:39" x14ac:dyDescent="0.25">
      <c r="A27" s="1" t="s">
        <v>89</v>
      </c>
      <c r="C27" s="64" t="s">
        <v>21</v>
      </c>
      <c r="D27" s="65"/>
      <c r="E27" s="65"/>
      <c r="F27" s="65"/>
      <c r="G27" s="65"/>
      <c r="H27" s="65"/>
      <c r="I27" s="66"/>
      <c r="J27" s="64" t="s">
        <v>22</v>
      </c>
      <c r="K27" s="65"/>
      <c r="L27" s="65"/>
      <c r="M27" s="65"/>
      <c r="N27" s="65"/>
      <c r="O27" s="65"/>
      <c r="P27" s="66"/>
      <c r="Q27" s="64" t="s">
        <v>23</v>
      </c>
      <c r="R27" s="65"/>
      <c r="S27" s="65"/>
      <c r="T27" s="65"/>
      <c r="U27" s="65"/>
      <c r="V27" s="65"/>
      <c r="W27" s="66"/>
      <c r="Y27" s="40" t="s">
        <v>61</v>
      </c>
      <c r="Z27" s="40" t="s">
        <v>62</v>
      </c>
      <c r="AA27" s="43" t="str">
        <f t="shared" si="4"/>
        <v>7</v>
      </c>
      <c r="AB27" s="44">
        <f t="shared" si="10"/>
        <v>23</v>
      </c>
      <c r="AC27" s="44">
        <f t="shared" si="5"/>
        <v>55</v>
      </c>
      <c r="AD27" s="44">
        <f>AA22+$AD$25</f>
        <v>10</v>
      </c>
      <c r="AE27" s="44">
        <f t="shared" si="6"/>
        <v>103</v>
      </c>
      <c r="AF27" s="44">
        <f t="shared" si="7"/>
        <v>119</v>
      </c>
      <c r="AG27" s="44">
        <f t="shared" si="8"/>
        <v>87</v>
      </c>
      <c r="AH27" s="45">
        <f t="shared" si="9"/>
        <v>71</v>
      </c>
    </row>
    <row r="28" spans="1:39" ht="15.75" thickBot="1" x14ac:dyDescent="0.3">
      <c r="C28" s="8" t="s">
        <v>48</v>
      </c>
      <c r="D28" s="14" t="s">
        <v>47</v>
      </c>
      <c r="E28" s="14" t="s">
        <v>46</v>
      </c>
      <c r="F28" s="14" t="s">
        <v>11</v>
      </c>
      <c r="G28" s="8" t="s">
        <v>45</v>
      </c>
      <c r="H28" s="14" t="s">
        <v>44</v>
      </c>
      <c r="I28" s="17" t="s">
        <v>43</v>
      </c>
      <c r="J28" s="8" t="s">
        <v>48</v>
      </c>
      <c r="K28" s="14" t="s">
        <v>47</v>
      </c>
      <c r="L28" s="14" t="s">
        <v>46</v>
      </c>
      <c r="M28" s="14" t="s">
        <v>11</v>
      </c>
      <c r="N28" s="8" t="s">
        <v>45</v>
      </c>
      <c r="O28" s="14" t="s">
        <v>44</v>
      </c>
      <c r="P28" s="17" t="s">
        <v>43</v>
      </c>
      <c r="Q28" s="8" t="s">
        <v>48</v>
      </c>
      <c r="R28" s="14" t="s">
        <v>47</v>
      </c>
      <c r="S28" s="14" t="s">
        <v>46</v>
      </c>
      <c r="T28" s="14" t="s">
        <v>11</v>
      </c>
      <c r="U28" s="8" t="s">
        <v>45</v>
      </c>
      <c r="V28" s="14" t="s">
        <v>44</v>
      </c>
      <c r="W28" s="17" t="s">
        <v>43</v>
      </c>
      <c r="Y28" s="40" t="s">
        <v>63</v>
      </c>
      <c r="Z28" s="40" t="s">
        <v>64</v>
      </c>
      <c r="AA28" s="43" t="str">
        <f t="shared" si="4"/>
        <v>5</v>
      </c>
      <c r="AB28" s="44">
        <f t="shared" si="10"/>
        <v>21</v>
      </c>
      <c r="AC28" s="44">
        <f t="shared" si="5"/>
        <v>53</v>
      </c>
      <c r="AD28" s="44">
        <f>AA22+$AD$26</f>
        <v>32</v>
      </c>
      <c r="AE28" s="44">
        <f t="shared" si="6"/>
        <v>101</v>
      </c>
      <c r="AF28" s="44">
        <f t="shared" si="7"/>
        <v>117</v>
      </c>
      <c r="AG28" s="44">
        <f t="shared" si="8"/>
        <v>85</v>
      </c>
      <c r="AH28" s="45">
        <f t="shared" si="9"/>
        <v>69</v>
      </c>
    </row>
    <row r="29" spans="1:39" x14ac:dyDescent="0.25">
      <c r="A29" s="1">
        <v>9</v>
      </c>
      <c r="B29" s="1">
        <f>I29+(H29*2)+(G29*2^2)+(F29*2^3)+(E29*2^4)+(D29*2^5)+(C29*2^6)</f>
        <v>123</v>
      </c>
      <c r="C29" s="33">
        <v>1</v>
      </c>
      <c r="D29" s="9">
        <v>1</v>
      </c>
      <c r="E29" s="9">
        <v>1</v>
      </c>
      <c r="F29" s="9">
        <v>1</v>
      </c>
      <c r="G29" s="9">
        <v>0</v>
      </c>
      <c r="H29" s="9">
        <v>1</v>
      </c>
      <c r="I29" s="34">
        <v>1</v>
      </c>
      <c r="J29" s="33">
        <f>C30</f>
        <v>1</v>
      </c>
      <c r="K29" s="9">
        <f>D30</f>
        <v>1</v>
      </c>
      <c r="L29" s="13">
        <f>E30</f>
        <v>1</v>
      </c>
      <c r="M29" s="13">
        <f t="shared" ref="M29:P29" si="11">F30</f>
        <v>1</v>
      </c>
      <c r="N29" s="13">
        <f t="shared" si="11"/>
        <v>1</v>
      </c>
      <c r="O29" s="13">
        <f t="shared" si="11"/>
        <v>1</v>
      </c>
      <c r="P29" s="34">
        <f t="shared" si="11"/>
        <v>1</v>
      </c>
      <c r="Q29" s="33">
        <f>J29</f>
        <v>1</v>
      </c>
      <c r="R29" s="33">
        <f t="shared" ref="R29:V29" si="12">K29</f>
        <v>1</v>
      </c>
      <c r="S29" s="33">
        <f t="shared" si="12"/>
        <v>1</v>
      </c>
      <c r="T29" s="33">
        <f t="shared" si="12"/>
        <v>1</v>
      </c>
      <c r="U29" s="33">
        <f t="shared" si="12"/>
        <v>1</v>
      </c>
      <c r="V29" s="33">
        <f t="shared" si="12"/>
        <v>1</v>
      </c>
      <c r="W29" s="33">
        <f>P29</f>
        <v>1</v>
      </c>
      <c r="X29" s="1">
        <f>B29</f>
        <v>123</v>
      </c>
      <c r="Y29" s="40" t="s">
        <v>65</v>
      </c>
      <c r="Z29" s="40" t="s">
        <v>66</v>
      </c>
      <c r="AA29" s="43" t="str">
        <f t="shared" si="4"/>
        <v>4</v>
      </c>
      <c r="AB29" s="44">
        <f t="shared" si="10"/>
        <v>20</v>
      </c>
      <c r="AC29" s="44">
        <f t="shared" si="5"/>
        <v>52</v>
      </c>
      <c r="AD29" s="44">
        <f>AA22+$AD$27</f>
        <v>10</v>
      </c>
      <c r="AE29" s="44">
        <f t="shared" si="6"/>
        <v>100</v>
      </c>
      <c r="AF29" s="44">
        <f t="shared" si="7"/>
        <v>116</v>
      </c>
      <c r="AG29" s="44">
        <f t="shared" si="8"/>
        <v>84</v>
      </c>
      <c r="AH29" s="45">
        <f t="shared" si="9"/>
        <v>68</v>
      </c>
    </row>
    <row r="30" spans="1:39" x14ac:dyDescent="0.25">
      <c r="A30" s="1">
        <v>8</v>
      </c>
      <c r="B30" s="1">
        <f t="shared" ref="B30:B39" si="13">I30+(H30*2)+(G30*2^2)+(F30*2^3)+(E30*2^4)+(D30*2^5)+(C30*2^6)</f>
        <v>127</v>
      </c>
      <c r="C30" s="33">
        <v>1</v>
      </c>
      <c r="D30" s="9">
        <v>1</v>
      </c>
      <c r="E30" s="9">
        <v>1</v>
      </c>
      <c r="F30" s="9">
        <v>1</v>
      </c>
      <c r="G30" s="9">
        <v>1</v>
      </c>
      <c r="H30" s="9">
        <v>1</v>
      </c>
      <c r="I30" s="34">
        <v>1</v>
      </c>
      <c r="J30" s="33">
        <f t="shared" ref="J30:J38" si="14">C31</f>
        <v>1</v>
      </c>
      <c r="K30" s="9">
        <f t="shared" ref="K30:K38" si="15">D31</f>
        <v>1</v>
      </c>
      <c r="L30" s="13">
        <f t="shared" ref="L30:L38" si="16">E31</f>
        <v>1</v>
      </c>
      <c r="M30" s="13">
        <f t="shared" ref="M30:M38" si="17">F31</f>
        <v>0</v>
      </c>
      <c r="N30" s="13">
        <f t="shared" ref="N30:N38" si="18">G31</f>
        <v>0</v>
      </c>
      <c r="O30" s="13">
        <f t="shared" ref="O30:O38" si="19">H31</f>
        <v>0</v>
      </c>
      <c r="P30" s="34">
        <f t="shared" ref="P30:P38" si="20">I31</f>
        <v>0</v>
      </c>
      <c r="Q30" s="33">
        <f t="shared" ref="Q30:Q38" si="21">J30</f>
        <v>1</v>
      </c>
      <c r="R30" s="33">
        <f t="shared" ref="R30:R38" si="22">K30</f>
        <v>1</v>
      </c>
      <c r="S30" s="33">
        <f t="shared" ref="S30:S38" si="23">L30</f>
        <v>1</v>
      </c>
      <c r="T30" s="33">
        <f t="shared" ref="T30:T38" si="24">M30</f>
        <v>0</v>
      </c>
      <c r="U30" s="33">
        <f t="shared" ref="U30:U38" si="25">N30</f>
        <v>0</v>
      </c>
      <c r="V30" s="33">
        <f t="shared" ref="V30:V38" si="26">O30</f>
        <v>0</v>
      </c>
      <c r="W30" s="33">
        <f t="shared" ref="W30:W38" si="27">P30</f>
        <v>0</v>
      </c>
      <c r="X30" s="1">
        <f t="shared" ref="X30:X38" si="28">B30</f>
        <v>127</v>
      </c>
      <c r="Y30" s="40" t="s">
        <v>67</v>
      </c>
      <c r="Z30" s="40" t="s">
        <v>68</v>
      </c>
      <c r="AA30" s="43" t="str">
        <f t="shared" si="4"/>
        <v>12</v>
      </c>
      <c r="AB30" s="44">
        <f t="shared" si="10"/>
        <v>28</v>
      </c>
      <c r="AC30" s="44">
        <f t="shared" si="5"/>
        <v>60</v>
      </c>
      <c r="AD30" s="44">
        <f>AA22+$AD$28</f>
        <v>32</v>
      </c>
      <c r="AE30" s="44">
        <f t="shared" si="6"/>
        <v>108</v>
      </c>
      <c r="AF30" s="44">
        <f t="shared" si="7"/>
        <v>124</v>
      </c>
      <c r="AG30" s="44">
        <f t="shared" si="8"/>
        <v>92</v>
      </c>
      <c r="AH30" s="45">
        <f t="shared" si="9"/>
        <v>76</v>
      </c>
    </row>
    <row r="31" spans="1:39" x14ac:dyDescent="0.25">
      <c r="A31" s="1">
        <v>7</v>
      </c>
      <c r="B31" s="1">
        <f t="shared" si="13"/>
        <v>112</v>
      </c>
      <c r="C31" s="33">
        <v>1</v>
      </c>
      <c r="D31" s="9">
        <v>1</v>
      </c>
      <c r="E31" s="9">
        <v>1</v>
      </c>
      <c r="F31" s="9">
        <v>0</v>
      </c>
      <c r="G31" s="9">
        <v>0</v>
      </c>
      <c r="H31" s="9">
        <v>0</v>
      </c>
      <c r="I31" s="34">
        <v>0</v>
      </c>
      <c r="J31" s="33">
        <f t="shared" si="14"/>
        <v>1</v>
      </c>
      <c r="K31" s="9">
        <f t="shared" si="15"/>
        <v>0</v>
      </c>
      <c r="L31" s="13">
        <f t="shared" si="16"/>
        <v>1</v>
      </c>
      <c r="M31" s="13">
        <f t="shared" si="17"/>
        <v>1</v>
      </c>
      <c r="N31" s="13">
        <f t="shared" si="18"/>
        <v>1</v>
      </c>
      <c r="O31" s="13">
        <f t="shared" si="19"/>
        <v>1</v>
      </c>
      <c r="P31" s="34">
        <f t="shared" si="20"/>
        <v>1</v>
      </c>
      <c r="Q31" s="33">
        <f t="shared" si="21"/>
        <v>1</v>
      </c>
      <c r="R31" s="33">
        <f t="shared" si="22"/>
        <v>0</v>
      </c>
      <c r="S31" s="33">
        <f t="shared" si="23"/>
        <v>1</v>
      </c>
      <c r="T31" s="33">
        <f t="shared" si="24"/>
        <v>1</v>
      </c>
      <c r="U31" s="33">
        <f t="shared" si="25"/>
        <v>1</v>
      </c>
      <c r="V31" s="33">
        <f t="shared" si="26"/>
        <v>1</v>
      </c>
      <c r="W31" s="33">
        <f t="shared" si="27"/>
        <v>1</v>
      </c>
      <c r="X31" s="1">
        <f t="shared" si="28"/>
        <v>112</v>
      </c>
      <c r="Y31" s="40" t="s">
        <v>69</v>
      </c>
      <c r="Z31" s="40" t="s">
        <v>70</v>
      </c>
      <c r="AA31" s="43" t="str">
        <f t="shared" si="4"/>
        <v>13</v>
      </c>
      <c r="AB31" s="44">
        <f t="shared" si="10"/>
        <v>29</v>
      </c>
      <c r="AC31" s="44">
        <f t="shared" si="5"/>
        <v>61</v>
      </c>
      <c r="AD31" s="44">
        <f>AA22+$AD$29</f>
        <v>10</v>
      </c>
      <c r="AE31" s="44">
        <f t="shared" si="6"/>
        <v>109</v>
      </c>
      <c r="AF31" s="44">
        <f t="shared" si="7"/>
        <v>125</v>
      </c>
      <c r="AG31" s="44">
        <f t="shared" si="8"/>
        <v>93</v>
      </c>
      <c r="AH31" s="45">
        <f t="shared" si="9"/>
        <v>77</v>
      </c>
    </row>
    <row r="32" spans="1:39" x14ac:dyDescent="0.25">
      <c r="A32" s="1">
        <v>6</v>
      </c>
      <c r="B32" s="1">
        <f t="shared" si="13"/>
        <v>95</v>
      </c>
      <c r="C32" s="33">
        <v>1</v>
      </c>
      <c r="D32" s="9">
        <v>0</v>
      </c>
      <c r="E32" s="9">
        <v>1</v>
      </c>
      <c r="F32" s="9">
        <v>1</v>
      </c>
      <c r="G32" s="9">
        <v>1</v>
      </c>
      <c r="H32" s="9">
        <v>1</v>
      </c>
      <c r="I32" s="34">
        <v>1</v>
      </c>
      <c r="J32" s="33">
        <f t="shared" si="14"/>
        <v>1</v>
      </c>
      <c r="K32" s="9">
        <f t="shared" si="15"/>
        <v>0</v>
      </c>
      <c r="L32" s="13">
        <f t="shared" si="16"/>
        <v>1</v>
      </c>
      <c r="M32" s="13">
        <f t="shared" si="17"/>
        <v>1</v>
      </c>
      <c r="N32" s="13">
        <f t="shared" si="18"/>
        <v>0</v>
      </c>
      <c r="O32" s="13">
        <f t="shared" si="19"/>
        <v>1</v>
      </c>
      <c r="P32" s="34">
        <f t="shared" si="20"/>
        <v>1</v>
      </c>
      <c r="Q32" s="33">
        <f t="shared" si="21"/>
        <v>1</v>
      </c>
      <c r="R32" s="33">
        <f t="shared" si="22"/>
        <v>0</v>
      </c>
      <c r="S32" s="33">
        <f t="shared" si="23"/>
        <v>1</v>
      </c>
      <c r="T32" s="33">
        <f t="shared" si="24"/>
        <v>1</v>
      </c>
      <c r="U32" s="33">
        <f t="shared" si="25"/>
        <v>0</v>
      </c>
      <c r="V32" s="33">
        <f t="shared" si="26"/>
        <v>1</v>
      </c>
      <c r="W32" s="33">
        <f t="shared" si="27"/>
        <v>1</v>
      </c>
      <c r="X32" s="1">
        <f t="shared" si="28"/>
        <v>95</v>
      </c>
      <c r="Y32" s="40" t="s">
        <v>71</v>
      </c>
      <c r="Z32" s="40" t="s">
        <v>72</v>
      </c>
      <c r="AA32" s="43" t="str">
        <f t="shared" si="4"/>
        <v>15</v>
      </c>
      <c r="AB32" s="44">
        <f t="shared" si="10"/>
        <v>31</v>
      </c>
      <c r="AC32" s="44">
        <f t="shared" si="5"/>
        <v>63</v>
      </c>
      <c r="AD32" s="44">
        <f>AA22+$AD$30</f>
        <v>32</v>
      </c>
      <c r="AE32" s="44">
        <f t="shared" si="6"/>
        <v>111</v>
      </c>
      <c r="AF32" s="44">
        <f t="shared" si="7"/>
        <v>127</v>
      </c>
      <c r="AG32" s="49">
        <f t="shared" si="8"/>
        <v>95</v>
      </c>
      <c r="AH32" s="45">
        <f t="shared" si="9"/>
        <v>79</v>
      </c>
    </row>
    <row r="33" spans="1:34" x14ac:dyDescent="0.25">
      <c r="A33" s="1">
        <v>5</v>
      </c>
      <c r="B33" s="1">
        <f t="shared" si="13"/>
        <v>91</v>
      </c>
      <c r="C33" s="33">
        <v>1</v>
      </c>
      <c r="D33" s="9">
        <v>0</v>
      </c>
      <c r="E33" s="9">
        <v>1</v>
      </c>
      <c r="F33" s="9">
        <v>1</v>
      </c>
      <c r="G33" s="9">
        <v>0</v>
      </c>
      <c r="H33" s="9">
        <v>1</v>
      </c>
      <c r="I33" s="34">
        <v>1</v>
      </c>
      <c r="J33" s="33">
        <f t="shared" si="14"/>
        <v>0</v>
      </c>
      <c r="K33" s="9">
        <f t="shared" si="15"/>
        <v>1</v>
      </c>
      <c r="L33" s="13">
        <f t="shared" si="16"/>
        <v>1</v>
      </c>
      <c r="M33" s="13">
        <f t="shared" si="17"/>
        <v>0</v>
      </c>
      <c r="N33" s="13">
        <f t="shared" si="18"/>
        <v>0</v>
      </c>
      <c r="O33" s="13">
        <f t="shared" si="19"/>
        <v>1</v>
      </c>
      <c r="P33" s="34">
        <f t="shared" si="20"/>
        <v>1</v>
      </c>
      <c r="Q33" s="33">
        <f t="shared" si="21"/>
        <v>0</v>
      </c>
      <c r="R33" s="33">
        <f t="shared" si="22"/>
        <v>1</v>
      </c>
      <c r="S33" s="33">
        <f t="shared" si="23"/>
        <v>1</v>
      </c>
      <c r="T33" s="33">
        <f t="shared" si="24"/>
        <v>0</v>
      </c>
      <c r="U33" s="33">
        <f t="shared" si="25"/>
        <v>0</v>
      </c>
      <c r="V33" s="33">
        <f t="shared" si="26"/>
        <v>1</v>
      </c>
      <c r="W33" s="33">
        <f t="shared" si="27"/>
        <v>1</v>
      </c>
      <c r="X33" s="1">
        <f t="shared" si="28"/>
        <v>91</v>
      </c>
      <c r="Y33" s="40" t="s">
        <v>73</v>
      </c>
      <c r="Z33" s="40" t="s">
        <v>74</v>
      </c>
      <c r="AA33" s="43" t="str">
        <f t="shared" si="4"/>
        <v>14</v>
      </c>
      <c r="AB33" s="44">
        <f t="shared" si="10"/>
        <v>30</v>
      </c>
      <c r="AC33" s="44">
        <f t="shared" si="5"/>
        <v>62</v>
      </c>
      <c r="AD33" s="44">
        <f>AA22+$AD$31</f>
        <v>10</v>
      </c>
      <c r="AE33" s="44">
        <f t="shared" si="6"/>
        <v>110</v>
      </c>
      <c r="AF33" s="49">
        <f t="shared" si="7"/>
        <v>126</v>
      </c>
      <c r="AG33" s="44">
        <f t="shared" si="8"/>
        <v>94</v>
      </c>
      <c r="AH33" s="45">
        <f t="shared" si="9"/>
        <v>78</v>
      </c>
    </row>
    <row r="34" spans="1:34" x14ac:dyDescent="0.25">
      <c r="A34" s="1">
        <v>4</v>
      </c>
      <c r="B34" s="1">
        <f t="shared" si="13"/>
        <v>51</v>
      </c>
      <c r="C34" s="33">
        <v>0</v>
      </c>
      <c r="D34" s="9">
        <v>1</v>
      </c>
      <c r="E34" s="9">
        <v>1</v>
      </c>
      <c r="F34" s="9">
        <v>0</v>
      </c>
      <c r="G34" s="9">
        <v>0</v>
      </c>
      <c r="H34" s="9">
        <v>1</v>
      </c>
      <c r="I34" s="34">
        <v>1</v>
      </c>
      <c r="J34" s="33">
        <f t="shared" si="14"/>
        <v>1</v>
      </c>
      <c r="K34" s="9">
        <f t="shared" si="15"/>
        <v>1</v>
      </c>
      <c r="L34" s="13">
        <f t="shared" si="16"/>
        <v>1</v>
      </c>
      <c r="M34" s="13">
        <f t="shared" si="17"/>
        <v>1</v>
      </c>
      <c r="N34" s="13">
        <f t="shared" si="18"/>
        <v>0</v>
      </c>
      <c r="O34" s="13">
        <f t="shared" si="19"/>
        <v>0</v>
      </c>
      <c r="P34" s="34">
        <f t="shared" si="20"/>
        <v>1</v>
      </c>
      <c r="Q34" s="33">
        <f t="shared" si="21"/>
        <v>1</v>
      </c>
      <c r="R34" s="33">
        <f t="shared" si="22"/>
        <v>1</v>
      </c>
      <c r="S34" s="33">
        <f t="shared" si="23"/>
        <v>1</v>
      </c>
      <c r="T34" s="33">
        <f t="shared" si="24"/>
        <v>1</v>
      </c>
      <c r="U34" s="33">
        <f t="shared" si="25"/>
        <v>0</v>
      </c>
      <c r="V34" s="33">
        <f t="shared" si="26"/>
        <v>0</v>
      </c>
      <c r="W34" s="33">
        <f t="shared" si="27"/>
        <v>1</v>
      </c>
      <c r="X34" s="1">
        <f t="shared" si="28"/>
        <v>51</v>
      </c>
      <c r="Y34" s="40" t="s">
        <v>31</v>
      </c>
      <c r="Z34" s="40" t="s">
        <v>75</v>
      </c>
      <c r="AA34" s="43" t="str">
        <f t="shared" si="4"/>
        <v>10</v>
      </c>
      <c r="AB34" s="44">
        <f t="shared" si="10"/>
        <v>26</v>
      </c>
      <c r="AC34" s="44">
        <f t="shared" si="5"/>
        <v>58</v>
      </c>
      <c r="AD34" s="44">
        <f>AA22+$AD$32</f>
        <v>32</v>
      </c>
      <c r="AE34" s="44">
        <f t="shared" si="6"/>
        <v>106</v>
      </c>
      <c r="AF34" s="44">
        <f t="shared" si="7"/>
        <v>122</v>
      </c>
      <c r="AG34" s="44">
        <f t="shared" si="8"/>
        <v>90</v>
      </c>
      <c r="AH34" s="45">
        <f t="shared" si="9"/>
        <v>74</v>
      </c>
    </row>
    <row r="35" spans="1:34" x14ac:dyDescent="0.25">
      <c r="A35" s="1">
        <v>3</v>
      </c>
      <c r="B35" s="1">
        <f t="shared" si="13"/>
        <v>121</v>
      </c>
      <c r="C35" s="33">
        <v>1</v>
      </c>
      <c r="D35" s="9">
        <v>1</v>
      </c>
      <c r="E35" s="9">
        <v>1</v>
      </c>
      <c r="F35" s="9">
        <v>1</v>
      </c>
      <c r="G35" s="9">
        <v>0</v>
      </c>
      <c r="H35" s="9">
        <v>0</v>
      </c>
      <c r="I35" s="34">
        <v>1</v>
      </c>
      <c r="J35" s="33">
        <f t="shared" si="14"/>
        <v>1</v>
      </c>
      <c r="K35" s="9">
        <f t="shared" si="15"/>
        <v>1</v>
      </c>
      <c r="L35" s="13">
        <f t="shared" si="16"/>
        <v>0</v>
      </c>
      <c r="M35" s="13">
        <f t="shared" si="17"/>
        <v>1</v>
      </c>
      <c r="N35" s="13">
        <f t="shared" si="18"/>
        <v>1</v>
      </c>
      <c r="O35" s="13">
        <f t="shared" si="19"/>
        <v>0</v>
      </c>
      <c r="P35" s="34">
        <f t="shared" si="20"/>
        <v>1</v>
      </c>
      <c r="Q35" s="33">
        <f t="shared" si="21"/>
        <v>1</v>
      </c>
      <c r="R35" s="33">
        <f t="shared" si="22"/>
        <v>1</v>
      </c>
      <c r="S35" s="33">
        <f t="shared" si="23"/>
        <v>0</v>
      </c>
      <c r="T35" s="33">
        <f t="shared" si="24"/>
        <v>1</v>
      </c>
      <c r="U35" s="33">
        <f t="shared" si="25"/>
        <v>1</v>
      </c>
      <c r="V35" s="33">
        <f t="shared" si="26"/>
        <v>0</v>
      </c>
      <c r="W35" s="33">
        <f t="shared" si="27"/>
        <v>1</v>
      </c>
      <c r="X35" s="1">
        <f t="shared" si="28"/>
        <v>121</v>
      </c>
      <c r="Y35" s="40" t="s">
        <v>30</v>
      </c>
      <c r="Z35" s="40" t="s">
        <v>76</v>
      </c>
      <c r="AA35" s="43" t="str">
        <f t="shared" si="4"/>
        <v>11</v>
      </c>
      <c r="AB35" s="44">
        <f t="shared" si="10"/>
        <v>27</v>
      </c>
      <c r="AC35" s="44">
        <f t="shared" si="5"/>
        <v>59</v>
      </c>
      <c r="AD35" s="44">
        <f>AA22+$AD$33</f>
        <v>10</v>
      </c>
      <c r="AE35" s="44">
        <f t="shared" si="6"/>
        <v>107</v>
      </c>
      <c r="AF35" s="49">
        <f t="shared" si="7"/>
        <v>123</v>
      </c>
      <c r="AG35" s="49">
        <f t="shared" si="8"/>
        <v>91</v>
      </c>
      <c r="AH35" s="45">
        <f t="shared" si="9"/>
        <v>75</v>
      </c>
    </row>
    <row r="36" spans="1:34" x14ac:dyDescent="0.25">
      <c r="A36" s="1">
        <v>2</v>
      </c>
      <c r="B36" s="1">
        <f t="shared" si="13"/>
        <v>109</v>
      </c>
      <c r="C36" s="33">
        <v>1</v>
      </c>
      <c r="D36" s="9">
        <v>1</v>
      </c>
      <c r="E36" s="9">
        <v>0</v>
      </c>
      <c r="F36" s="9">
        <v>1</v>
      </c>
      <c r="G36" s="9">
        <v>1</v>
      </c>
      <c r="H36" s="9">
        <v>0</v>
      </c>
      <c r="I36" s="34">
        <v>1</v>
      </c>
      <c r="J36" s="33">
        <f t="shared" si="14"/>
        <v>0</v>
      </c>
      <c r="K36" s="9">
        <f t="shared" si="15"/>
        <v>1</v>
      </c>
      <c r="L36" s="13">
        <f t="shared" si="16"/>
        <v>1</v>
      </c>
      <c r="M36" s="13">
        <f t="shared" si="17"/>
        <v>0</v>
      </c>
      <c r="N36" s="13">
        <f t="shared" si="18"/>
        <v>0</v>
      </c>
      <c r="O36" s="13">
        <f t="shared" si="19"/>
        <v>0</v>
      </c>
      <c r="P36" s="34">
        <f t="shared" si="20"/>
        <v>0</v>
      </c>
      <c r="Q36" s="33">
        <f t="shared" si="21"/>
        <v>0</v>
      </c>
      <c r="R36" s="33">
        <f t="shared" si="22"/>
        <v>1</v>
      </c>
      <c r="S36" s="33">
        <f t="shared" si="23"/>
        <v>1</v>
      </c>
      <c r="T36" s="33">
        <f t="shared" si="24"/>
        <v>0</v>
      </c>
      <c r="U36" s="33">
        <f t="shared" si="25"/>
        <v>0</v>
      </c>
      <c r="V36" s="33">
        <f t="shared" si="26"/>
        <v>0</v>
      </c>
      <c r="W36" s="33">
        <f t="shared" si="27"/>
        <v>0</v>
      </c>
      <c r="X36" s="1">
        <f t="shared" si="28"/>
        <v>109</v>
      </c>
      <c r="Y36" s="40" t="s">
        <v>77</v>
      </c>
      <c r="Z36" s="40" t="s">
        <v>78</v>
      </c>
      <c r="AA36" s="43" t="str">
        <f t="shared" si="4"/>
        <v>9</v>
      </c>
      <c r="AB36" s="44">
        <f t="shared" si="10"/>
        <v>25</v>
      </c>
      <c r="AC36" s="44">
        <f t="shared" si="5"/>
        <v>57</v>
      </c>
      <c r="AD36" s="44">
        <f>AA22+$AD$34</f>
        <v>32</v>
      </c>
      <c r="AE36" s="44">
        <f t="shared" si="6"/>
        <v>105</v>
      </c>
      <c r="AF36" s="49">
        <f t="shared" si="7"/>
        <v>121</v>
      </c>
      <c r="AG36" s="44">
        <f t="shared" si="8"/>
        <v>89</v>
      </c>
      <c r="AH36" s="45">
        <f t="shared" si="9"/>
        <v>73</v>
      </c>
    </row>
    <row r="37" spans="1:34" ht="15.75" thickBot="1" x14ac:dyDescent="0.3">
      <c r="A37" s="1">
        <v>1</v>
      </c>
      <c r="B37" s="1">
        <f t="shared" si="13"/>
        <v>48</v>
      </c>
      <c r="C37" s="33">
        <v>0</v>
      </c>
      <c r="D37" s="9">
        <v>1</v>
      </c>
      <c r="E37" s="9">
        <v>1</v>
      </c>
      <c r="F37" s="9">
        <v>0</v>
      </c>
      <c r="G37" s="9">
        <v>0</v>
      </c>
      <c r="H37" s="9">
        <v>0</v>
      </c>
      <c r="I37" s="34">
        <v>0</v>
      </c>
      <c r="J37" s="33">
        <f t="shared" si="14"/>
        <v>1</v>
      </c>
      <c r="K37" s="9">
        <f t="shared" si="15"/>
        <v>1</v>
      </c>
      <c r="L37" s="13">
        <f t="shared" si="16"/>
        <v>1</v>
      </c>
      <c r="M37" s="13">
        <f t="shared" si="17"/>
        <v>1</v>
      </c>
      <c r="N37" s="13">
        <f t="shared" si="18"/>
        <v>1</v>
      </c>
      <c r="O37" s="13">
        <f t="shared" si="19"/>
        <v>1</v>
      </c>
      <c r="P37" s="34">
        <f t="shared" si="20"/>
        <v>0</v>
      </c>
      <c r="Q37" s="33">
        <f t="shared" si="21"/>
        <v>1</v>
      </c>
      <c r="R37" s="33">
        <f t="shared" si="22"/>
        <v>1</v>
      </c>
      <c r="S37" s="33">
        <f t="shared" si="23"/>
        <v>1</v>
      </c>
      <c r="T37" s="33">
        <f t="shared" si="24"/>
        <v>1</v>
      </c>
      <c r="U37" s="33">
        <f t="shared" si="25"/>
        <v>1</v>
      </c>
      <c r="V37" s="33">
        <f t="shared" si="26"/>
        <v>1</v>
      </c>
      <c r="W37" s="33">
        <f t="shared" si="27"/>
        <v>0</v>
      </c>
      <c r="X37" s="1">
        <f t="shared" si="28"/>
        <v>48</v>
      </c>
      <c r="Y37" s="40" t="s">
        <v>79</v>
      </c>
      <c r="Z37" s="40" t="s">
        <v>80</v>
      </c>
      <c r="AA37" s="46" t="str">
        <f t="shared" si="4"/>
        <v>8</v>
      </c>
      <c r="AB37" s="47">
        <f t="shared" si="10"/>
        <v>24</v>
      </c>
      <c r="AC37" s="47">
        <f t="shared" si="5"/>
        <v>56</v>
      </c>
      <c r="AD37" s="47">
        <f>AA22+$AD$35</f>
        <v>10</v>
      </c>
      <c r="AE37" s="47">
        <f t="shared" si="6"/>
        <v>104</v>
      </c>
      <c r="AF37" s="47">
        <f t="shared" si="7"/>
        <v>120</v>
      </c>
      <c r="AG37" s="47">
        <f t="shared" si="8"/>
        <v>88</v>
      </c>
      <c r="AH37" s="48">
        <f t="shared" si="9"/>
        <v>72</v>
      </c>
    </row>
    <row r="38" spans="1:34" x14ac:dyDescent="0.25">
      <c r="A38" s="1">
        <v>0</v>
      </c>
      <c r="B38" s="1">
        <f t="shared" si="13"/>
        <v>126</v>
      </c>
      <c r="C38" s="33">
        <v>1</v>
      </c>
      <c r="D38" s="9">
        <v>1</v>
      </c>
      <c r="E38" s="9">
        <v>1</v>
      </c>
      <c r="F38" s="9">
        <v>1</v>
      </c>
      <c r="G38" s="9">
        <v>1</v>
      </c>
      <c r="H38" s="9">
        <v>1</v>
      </c>
      <c r="I38" s="34">
        <v>0</v>
      </c>
      <c r="J38" s="33">
        <f t="shared" si="14"/>
        <v>1</v>
      </c>
      <c r="K38" s="9">
        <f t="shared" si="15"/>
        <v>1</v>
      </c>
      <c r="L38" s="13">
        <f t="shared" si="16"/>
        <v>1</v>
      </c>
      <c r="M38" s="13">
        <f t="shared" si="17"/>
        <v>1</v>
      </c>
      <c r="N38" s="13">
        <f t="shared" si="18"/>
        <v>0</v>
      </c>
      <c r="O38" s="13">
        <f t="shared" si="19"/>
        <v>1</v>
      </c>
      <c r="P38" s="34">
        <f t="shared" si="20"/>
        <v>1</v>
      </c>
      <c r="Q38" s="33">
        <f t="shared" si="21"/>
        <v>1</v>
      </c>
      <c r="R38" s="33">
        <f t="shared" si="22"/>
        <v>1</v>
      </c>
      <c r="S38" s="33">
        <f t="shared" si="23"/>
        <v>1</v>
      </c>
      <c r="T38" s="33">
        <f t="shared" si="24"/>
        <v>1</v>
      </c>
      <c r="U38" s="33">
        <f t="shared" si="25"/>
        <v>0</v>
      </c>
      <c r="V38" s="33">
        <f t="shared" si="26"/>
        <v>1</v>
      </c>
      <c r="W38" s="33">
        <f t="shared" si="27"/>
        <v>1</v>
      </c>
      <c r="X38" s="1">
        <f t="shared" si="28"/>
        <v>126</v>
      </c>
    </row>
    <row r="39" spans="1:34" ht="15.75" thickBot="1" x14ac:dyDescent="0.3">
      <c r="A39" s="18">
        <v>9</v>
      </c>
      <c r="B39" s="1">
        <f t="shared" si="13"/>
        <v>123</v>
      </c>
      <c r="C39" s="36">
        <v>1</v>
      </c>
      <c r="D39" s="37">
        <v>1</v>
      </c>
      <c r="E39" s="37">
        <v>1</v>
      </c>
      <c r="F39" s="37">
        <v>1</v>
      </c>
      <c r="G39" s="37">
        <v>0</v>
      </c>
      <c r="H39" s="37">
        <v>1</v>
      </c>
      <c r="I39" s="38">
        <v>1</v>
      </c>
      <c r="J39" s="36"/>
      <c r="K39" s="37"/>
      <c r="L39" s="39"/>
      <c r="M39" s="39"/>
      <c r="N39" s="39"/>
      <c r="O39" s="39"/>
      <c r="P39" s="38"/>
      <c r="Q39" s="36"/>
      <c r="R39" s="37"/>
      <c r="S39" s="37"/>
      <c r="T39" s="37"/>
      <c r="U39" s="37"/>
      <c r="V39" s="37"/>
      <c r="W39" s="38"/>
    </row>
    <row r="40" spans="1:34" x14ac:dyDescent="0.25">
      <c r="C40" s="33"/>
      <c r="D40" s="9"/>
      <c r="E40" s="9"/>
      <c r="F40" s="9"/>
      <c r="G40" s="9"/>
      <c r="H40" s="9"/>
      <c r="I40" s="34"/>
      <c r="J40" s="33"/>
      <c r="K40" s="9"/>
      <c r="L40" s="13"/>
      <c r="M40" s="13"/>
      <c r="N40" s="13"/>
      <c r="O40" s="13"/>
      <c r="P40" s="34"/>
      <c r="Q40" s="35"/>
      <c r="R40" s="9"/>
      <c r="S40" s="9"/>
      <c r="T40" s="9"/>
      <c r="U40" s="9"/>
      <c r="V40" s="9"/>
      <c r="W40" s="34"/>
      <c r="Z40" s="1" t="s">
        <v>98</v>
      </c>
      <c r="AA40" s="51" t="s">
        <v>99</v>
      </c>
    </row>
    <row r="41" spans="1:34" x14ac:dyDescent="0.25">
      <c r="C41" s="33"/>
      <c r="D41" s="9"/>
      <c r="E41" s="9"/>
      <c r="F41" s="9"/>
      <c r="G41" s="9"/>
      <c r="H41" s="9"/>
      <c r="I41" s="34"/>
      <c r="J41" s="33"/>
      <c r="K41" s="9"/>
      <c r="L41" s="13"/>
      <c r="M41" s="13"/>
      <c r="N41" s="13"/>
      <c r="O41" s="13"/>
      <c r="P41" s="34"/>
      <c r="Q41" s="35"/>
      <c r="R41" s="9"/>
      <c r="S41" s="9"/>
      <c r="T41" s="9"/>
      <c r="U41" s="9"/>
      <c r="V41" s="9"/>
      <c r="W41" s="34"/>
      <c r="AA41" s="51" t="s">
        <v>100</v>
      </c>
    </row>
    <row r="42" spans="1:34" x14ac:dyDescent="0.25">
      <c r="C42" s="33"/>
      <c r="D42" s="9"/>
      <c r="E42" s="9"/>
      <c r="F42" s="9"/>
      <c r="G42" s="9"/>
      <c r="H42" s="9"/>
      <c r="I42" s="34"/>
      <c r="J42" s="33"/>
      <c r="K42" s="9"/>
      <c r="L42" s="13"/>
      <c r="M42" s="13"/>
      <c r="N42" s="13"/>
      <c r="O42" s="13"/>
      <c r="P42" s="34"/>
      <c r="Q42" s="33"/>
      <c r="R42" s="9"/>
      <c r="S42" s="9"/>
      <c r="T42" s="9"/>
      <c r="U42" s="9"/>
      <c r="V42" s="9"/>
      <c r="W42" s="34"/>
      <c r="AA42" s="51" t="s">
        <v>101</v>
      </c>
    </row>
    <row r="43" spans="1:34" x14ac:dyDescent="0.25">
      <c r="C43" s="33"/>
      <c r="D43" s="9"/>
      <c r="E43" s="9"/>
      <c r="F43" s="9"/>
      <c r="G43" s="9"/>
      <c r="H43" s="9"/>
      <c r="I43" s="34"/>
      <c r="J43" s="33"/>
      <c r="K43" s="9"/>
      <c r="L43" s="9"/>
      <c r="M43" s="9"/>
      <c r="N43" s="9"/>
      <c r="O43" s="9"/>
      <c r="P43" s="34"/>
      <c r="Q43" s="33"/>
      <c r="R43" s="9"/>
      <c r="S43" s="9"/>
      <c r="T43" s="9"/>
      <c r="U43" s="9"/>
      <c r="V43" s="9"/>
      <c r="W43" s="34"/>
      <c r="AA43" s="51" t="s">
        <v>102</v>
      </c>
    </row>
    <row r="44" spans="1:34" ht="15.75" thickBot="1" x14ac:dyDescent="0.3">
      <c r="C44" s="8"/>
      <c r="D44" s="14"/>
      <c r="E44" s="14"/>
      <c r="F44" s="14"/>
      <c r="G44" s="14"/>
      <c r="H44" s="14"/>
      <c r="I44" s="17"/>
      <c r="J44" s="8"/>
      <c r="K44" s="14"/>
      <c r="L44" s="14"/>
      <c r="M44" s="14"/>
      <c r="N44" s="14"/>
      <c r="O44" s="14"/>
      <c r="P44" s="17"/>
      <c r="Q44" s="8"/>
      <c r="R44" s="14"/>
      <c r="S44" s="14"/>
      <c r="T44" s="14"/>
      <c r="U44" s="14"/>
      <c r="V44" s="14"/>
      <c r="W44" s="17"/>
      <c r="AA44" s="51" t="s">
        <v>103</v>
      </c>
    </row>
    <row r="45" spans="1:34" x14ac:dyDescent="0.25">
      <c r="AA45" s="51" t="s">
        <v>104</v>
      </c>
    </row>
    <row r="46" spans="1:34" x14ac:dyDescent="0.25">
      <c r="AA46" s="51"/>
    </row>
    <row r="47" spans="1:34" x14ac:dyDescent="0.25">
      <c r="AA47" s="51"/>
    </row>
    <row r="48" spans="1:34" x14ac:dyDescent="0.25">
      <c r="AA48" s="51"/>
    </row>
    <row r="51" spans="27:27" x14ac:dyDescent="0.25">
      <c r="AA51" s="10"/>
    </row>
  </sheetData>
  <mergeCells count="3">
    <mergeCell ref="J27:P27"/>
    <mergeCell ref="Q27:W27"/>
    <mergeCell ref="C27:I27"/>
  </mergeCells>
  <pageMargins left="0.7" right="0.7" top="0.75" bottom="0.75" header="0.3" footer="0.3"/>
  <ignoredErrors>
    <ignoredError sqref="AD22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AC53"/>
  <sheetViews>
    <sheetView topLeftCell="A16" workbookViewId="0">
      <selection activeCell="H24" sqref="H24"/>
    </sheetView>
  </sheetViews>
  <sheetFormatPr defaultRowHeight="15" x14ac:dyDescent="0.25"/>
  <cols>
    <col min="1" max="16384" width="9.140625" style="1"/>
  </cols>
  <sheetData>
    <row r="4" spans="2:29" x14ac:dyDescent="0.25">
      <c r="B4" t="s">
        <v>10</v>
      </c>
    </row>
    <row r="6" spans="2:29" x14ac:dyDescent="0.25">
      <c r="B6" s="10" t="s">
        <v>9</v>
      </c>
      <c r="H6" s="10" t="s">
        <v>14</v>
      </c>
    </row>
    <row r="8" spans="2:29" ht="15.75" thickBot="1" x14ac:dyDescent="0.3"/>
    <row r="9" spans="2:29" ht="15.75" thickBot="1" x14ac:dyDescent="0.3">
      <c r="B9" s="2" t="s">
        <v>11</v>
      </c>
      <c r="C9" s="3" t="s">
        <v>19</v>
      </c>
      <c r="D9" s="3" t="s">
        <v>18</v>
      </c>
      <c r="H9" s="2" t="s">
        <v>11</v>
      </c>
      <c r="I9" s="3" t="s">
        <v>19</v>
      </c>
      <c r="J9" s="3" t="s">
        <v>18</v>
      </c>
    </row>
    <row r="10" spans="2:29" ht="15.75" thickBot="1" x14ac:dyDescent="0.3">
      <c r="B10" s="1">
        <v>0</v>
      </c>
      <c r="C10" s="1">
        <v>0</v>
      </c>
      <c r="D10" s="12">
        <v>0</v>
      </c>
      <c r="E10" s="1" t="s">
        <v>12</v>
      </c>
      <c r="H10" s="1">
        <v>0</v>
      </c>
      <c r="I10" s="1">
        <v>0</v>
      </c>
      <c r="J10" s="12">
        <v>0</v>
      </c>
      <c r="K10" s="1" t="s">
        <v>15</v>
      </c>
      <c r="T10" s="4" t="s">
        <v>0</v>
      </c>
      <c r="U10" s="3" t="s">
        <v>1</v>
      </c>
      <c r="V10" s="3" t="s">
        <v>2</v>
      </c>
      <c r="W10" s="4" t="s">
        <v>3</v>
      </c>
      <c r="X10" s="3" t="s">
        <v>4</v>
      </c>
      <c r="Y10" s="4" t="s">
        <v>5</v>
      </c>
      <c r="Z10" s="3" t="s">
        <v>6</v>
      </c>
      <c r="AA10" s="4" t="s">
        <v>7</v>
      </c>
      <c r="AC10" s="7" t="s">
        <v>8</v>
      </c>
    </row>
    <row r="11" spans="2:29" x14ac:dyDescent="0.25">
      <c r="B11" s="1">
        <v>0</v>
      </c>
      <c r="C11" s="1">
        <v>1</v>
      </c>
      <c r="D11" s="12">
        <v>0</v>
      </c>
      <c r="E11" s="1" t="s">
        <v>12</v>
      </c>
      <c r="H11" s="1">
        <v>0</v>
      </c>
      <c r="I11" s="1">
        <v>1</v>
      </c>
      <c r="J11" s="12">
        <v>1</v>
      </c>
      <c r="K11" s="1" t="s">
        <v>15</v>
      </c>
      <c r="T11" s="5">
        <v>0</v>
      </c>
      <c r="U11" s="9">
        <f>AC11</f>
        <v>0</v>
      </c>
      <c r="V11" s="9">
        <v>0</v>
      </c>
      <c r="W11" s="5">
        <v>1</v>
      </c>
      <c r="X11" s="9">
        <v>0</v>
      </c>
      <c r="Y11" s="5">
        <v>1</v>
      </c>
      <c r="Z11" s="9">
        <v>1</v>
      </c>
      <c r="AA11" s="5">
        <v>1</v>
      </c>
      <c r="AC11" s="1">
        <f>doXOR3(W11,Y11,AA11)</f>
        <v>0</v>
      </c>
    </row>
    <row r="12" spans="2:29" x14ac:dyDescent="0.25">
      <c r="B12" s="1">
        <v>1</v>
      </c>
      <c r="C12" s="1">
        <v>0</v>
      </c>
      <c r="D12" s="12">
        <v>1</v>
      </c>
      <c r="E12" s="1" t="s">
        <v>13</v>
      </c>
      <c r="H12" s="1">
        <v>1</v>
      </c>
      <c r="I12" s="1">
        <v>0</v>
      </c>
      <c r="J12" s="12">
        <v>0</v>
      </c>
      <c r="K12" s="1" t="s">
        <v>16</v>
      </c>
      <c r="T12" s="5">
        <v>1</v>
      </c>
      <c r="U12" s="9">
        <f>AC12</f>
        <v>1</v>
      </c>
      <c r="V12" s="9">
        <f>U11</f>
        <v>0</v>
      </c>
      <c r="W12" s="5">
        <f>V11</f>
        <v>0</v>
      </c>
      <c r="X12" s="9">
        <f t="shared" ref="X12:AA16" si="0">W11</f>
        <v>1</v>
      </c>
      <c r="Y12" s="5">
        <f t="shared" si="0"/>
        <v>0</v>
      </c>
      <c r="Z12" s="9">
        <f t="shared" si="0"/>
        <v>1</v>
      </c>
      <c r="AA12" s="5">
        <f t="shared" si="0"/>
        <v>1</v>
      </c>
      <c r="AC12" s="1">
        <f t="shared" ref="AC12:AC16" si="1">doXOR3(W12,Y12,AA12)</f>
        <v>1</v>
      </c>
    </row>
    <row r="13" spans="2:29" x14ac:dyDescent="0.25">
      <c r="B13" s="1">
        <v>1</v>
      </c>
      <c r="C13" s="1">
        <v>1</v>
      </c>
      <c r="D13" s="12">
        <v>1</v>
      </c>
      <c r="E13" s="1" t="s">
        <v>13</v>
      </c>
      <c r="H13" s="1">
        <v>1</v>
      </c>
      <c r="I13" s="1">
        <v>1</v>
      </c>
      <c r="J13" s="12">
        <v>1</v>
      </c>
      <c r="K13" s="1" t="s">
        <v>16</v>
      </c>
      <c r="T13" s="5">
        <v>2</v>
      </c>
      <c r="U13" s="9">
        <f t="shared" ref="U13:U16" si="2">AC13</f>
        <v>0</v>
      </c>
      <c r="V13" s="9">
        <f t="shared" ref="V13:W16" si="3">U12</f>
        <v>1</v>
      </c>
      <c r="W13" s="5">
        <f t="shared" si="3"/>
        <v>0</v>
      </c>
      <c r="X13" s="9">
        <f t="shared" si="0"/>
        <v>0</v>
      </c>
      <c r="Y13" s="5">
        <f t="shared" si="0"/>
        <v>1</v>
      </c>
      <c r="Z13" s="9">
        <f t="shared" si="0"/>
        <v>0</v>
      </c>
      <c r="AA13" s="5">
        <f t="shared" si="0"/>
        <v>1</v>
      </c>
      <c r="AC13" s="1">
        <f t="shared" si="1"/>
        <v>0</v>
      </c>
    </row>
    <row r="14" spans="2:29" x14ac:dyDescent="0.25">
      <c r="T14" s="5">
        <v>3</v>
      </c>
      <c r="U14" s="9">
        <f t="shared" si="2"/>
        <v>1</v>
      </c>
      <c r="V14" s="9">
        <f t="shared" si="3"/>
        <v>0</v>
      </c>
      <c r="W14" s="5">
        <f t="shared" si="3"/>
        <v>1</v>
      </c>
      <c r="X14" s="9">
        <f t="shared" si="0"/>
        <v>0</v>
      </c>
      <c r="Y14" s="5">
        <f t="shared" si="0"/>
        <v>0</v>
      </c>
      <c r="Z14" s="9">
        <f t="shared" si="0"/>
        <v>1</v>
      </c>
      <c r="AA14" s="5">
        <f t="shared" si="0"/>
        <v>0</v>
      </c>
      <c r="AC14" s="1">
        <f t="shared" si="1"/>
        <v>1</v>
      </c>
    </row>
    <row r="15" spans="2:29" x14ac:dyDescent="0.25">
      <c r="T15" s="5">
        <v>4</v>
      </c>
      <c r="U15" s="9">
        <f t="shared" si="2"/>
        <v>1</v>
      </c>
      <c r="V15" s="9">
        <f t="shared" si="3"/>
        <v>1</v>
      </c>
      <c r="W15" s="5">
        <f t="shared" si="3"/>
        <v>0</v>
      </c>
      <c r="X15" s="9">
        <f t="shared" si="0"/>
        <v>1</v>
      </c>
      <c r="Y15" s="5">
        <f t="shared" si="0"/>
        <v>0</v>
      </c>
      <c r="Z15" s="9">
        <f t="shared" si="0"/>
        <v>0</v>
      </c>
      <c r="AA15" s="5">
        <f t="shared" si="0"/>
        <v>1</v>
      </c>
      <c r="AC15" s="1">
        <f t="shared" si="1"/>
        <v>1</v>
      </c>
    </row>
    <row r="16" spans="2:29" ht="15.75" thickBot="1" x14ac:dyDescent="0.3">
      <c r="B16" t="s">
        <v>17</v>
      </c>
      <c r="T16" s="6">
        <v>5</v>
      </c>
      <c r="U16" s="9">
        <f t="shared" si="2"/>
        <v>0</v>
      </c>
      <c r="V16" s="9">
        <f t="shared" si="3"/>
        <v>1</v>
      </c>
      <c r="W16" s="6">
        <f t="shared" si="3"/>
        <v>1</v>
      </c>
      <c r="X16" s="9">
        <f t="shared" si="0"/>
        <v>0</v>
      </c>
      <c r="Y16" s="6">
        <f t="shared" si="0"/>
        <v>1</v>
      </c>
      <c r="Z16" s="9">
        <f t="shared" si="0"/>
        <v>0</v>
      </c>
      <c r="AA16" s="6">
        <f t="shared" si="0"/>
        <v>0</v>
      </c>
      <c r="AC16" s="1">
        <f t="shared" si="1"/>
        <v>0</v>
      </c>
    </row>
    <row r="17" spans="1:19" ht="15.75" thickBot="1" x14ac:dyDescent="0.3">
      <c r="B17" s="2" t="s">
        <v>19</v>
      </c>
      <c r="C17" s="3" t="s">
        <v>18</v>
      </c>
      <c r="D17" s="11" t="s">
        <v>11</v>
      </c>
    </row>
    <row r="18" spans="1:19" x14ac:dyDescent="0.25">
      <c r="B18" s="1">
        <v>0</v>
      </c>
      <c r="C18" s="1">
        <v>0</v>
      </c>
      <c r="D18" s="12">
        <v>0</v>
      </c>
    </row>
    <row r="19" spans="1:19" x14ac:dyDescent="0.25">
      <c r="B19" s="1">
        <v>0</v>
      </c>
      <c r="C19" s="1">
        <v>1</v>
      </c>
      <c r="D19" s="12">
        <v>1</v>
      </c>
    </row>
    <row r="20" spans="1:19" x14ac:dyDescent="0.25">
      <c r="B20" s="1">
        <v>1</v>
      </c>
      <c r="C20" s="1">
        <v>0</v>
      </c>
      <c r="D20" s="12">
        <v>0</v>
      </c>
    </row>
    <row r="21" spans="1:19" x14ac:dyDescent="0.25">
      <c r="B21" s="1">
        <v>1</v>
      </c>
      <c r="C21" s="1">
        <v>1</v>
      </c>
      <c r="D21" s="12">
        <v>1</v>
      </c>
      <c r="O21" s="10" t="s">
        <v>36</v>
      </c>
    </row>
    <row r="23" spans="1:19" x14ac:dyDescent="0.25">
      <c r="O23" s="25" t="s">
        <v>35</v>
      </c>
    </row>
    <row r="25" spans="1:19" x14ac:dyDescent="0.25">
      <c r="B25" s="10" t="s">
        <v>20</v>
      </c>
      <c r="P25" s="1" t="s">
        <v>27</v>
      </c>
    </row>
    <row r="26" spans="1:19" ht="15.75" thickBot="1" x14ac:dyDescent="0.3">
      <c r="O26" s="18" t="s">
        <v>34</v>
      </c>
      <c r="P26" s="19" t="s">
        <v>28</v>
      </c>
      <c r="Q26" s="19" t="s">
        <v>29</v>
      </c>
      <c r="R26" s="19" t="s">
        <v>30</v>
      </c>
      <c r="S26" s="19" t="s">
        <v>31</v>
      </c>
    </row>
    <row r="27" spans="1:19" x14ac:dyDescent="0.25">
      <c r="A27" s="1" t="s">
        <v>42</v>
      </c>
      <c r="B27" s="64" t="s">
        <v>21</v>
      </c>
      <c r="C27" s="65"/>
      <c r="D27" s="65"/>
      <c r="E27" s="67" t="s">
        <v>22</v>
      </c>
      <c r="F27" s="65"/>
      <c r="G27" s="68"/>
      <c r="H27" s="67" t="s">
        <v>23</v>
      </c>
      <c r="I27" s="65"/>
      <c r="J27" s="66"/>
      <c r="N27" s="1" t="s">
        <v>24</v>
      </c>
      <c r="O27" s="1">
        <v>0</v>
      </c>
      <c r="P27" s="26">
        <v>0</v>
      </c>
      <c r="Q27" s="27">
        <v>1</v>
      </c>
      <c r="R27" s="20">
        <v>3</v>
      </c>
      <c r="S27" s="28">
        <v>2</v>
      </c>
    </row>
    <row r="28" spans="1:19" ht="15.75" thickBot="1" x14ac:dyDescent="0.3">
      <c r="B28" s="8" t="s">
        <v>24</v>
      </c>
      <c r="C28" s="14" t="s">
        <v>25</v>
      </c>
      <c r="D28" s="14" t="s">
        <v>26</v>
      </c>
      <c r="E28" s="15" t="s">
        <v>24</v>
      </c>
      <c r="F28" s="14" t="s">
        <v>25</v>
      </c>
      <c r="G28" s="16" t="s">
        <v>26</v>
      </c>
      <c r="H28" s="15" t="s">
        <v>32</v>
      </c>
      <c r="I28" s="14" t="s">
        <v>33</v>
      </c>
      <c r="J28" s="17" t="s">
        <v>34</v>
      </c>
      <c r="O28" s="1">
        <v>1</v>
      </c>
      <c r="P28" s="21">
        <v>4</v>
      </c>
      <c r="Q28" s="31">
        <v>5</v>
      </c>
      <c r="R28" s="30">
        <v>7</v>
      </c>
      <c r="S28" s="23">
        <v>6</v>
      </c>
    </row>
    <row r="29" spans="1:19" x14ac:dyDescent="0.25">
      <c r="B29" s="12">
        <v>1</v>
      </c>
      <c r="C29" s="9">
        <v>1</v>
      </c>
      <c r="D29" s="9">
        <v>1</v>
      </c>
      <c r="E29" s="12">
        <v>1</v>
      </c>
      <c r="F29" s="9">
        <v>0</v>
      </c>
      <c r="G29" s="13">
        <v>0</v>
      </c>
      <c r="H29" s="12">
        <f>E29</f>
        <v>1</v>
      </c>
      <c r="I29" s="12">
        <f t="shared" ref="I29:J29" si="4">F29</f>
        <v>0</v>
      </c>
      <c r="J29" s="12">
        <f t="shared" si="4"/>
        <v>0</v>
      </c>
    </row>
    <row r="30" spans="1:19" x14ac:dyDescent="0.25">
      <c r="B30" s="12">
        <f>E29</f>
        <v>1</v>
      </c>
      <c r="C30" s="9">
        <f>F29</f>
        <v>0</v>
      </c>
      <c r="D30" s="9">
        <f>G29</f>
        <v>0</v>
      </c>
      <c r="E30" s="12">
        <v>1</v>
      </c>
      <c r="F30" s="9">
        <v>1</v>
      </c>
      <c r="G30" s="13">
        <v>0</v>
      </c>
      <c r="H30" s="12">
        <f t="shared" ref="H30:H35" si="5">E30</f>
        <v>1</v>
      </c>
      <c r="I30" s="12">
        <f t="shared" ref="I30:I35" si="6">F30</f>
        <v>1</v>
      </c>
      <c r="J30" s="12">
        <f t="shared" ref="J30:J35" si="7">G30</f>
        <v>0</v>
      </c>
    </row>
    <row r="31" spans="1:19" x14ac:dyDescent="0.25">
      <c r="B31" s="12">
        <f t="shared" ref="B31:B35" si="8">E30</f>
        <v>1</v>
      </c>
      <c r="C31" s="9">
        <f t="shared" ref="C31:C35" si="9">F30</f>
        <v>1</v>
      </c>
      <c r="D31" s="9">
        <f t="shared" ref="D31:D35" si="10">G30</f>
        <v>0</v>
      </c>
      <c r="E31" s="12">
        <v>0</v>
      </c>
      <c r="F31" s="9">
        <v>1</v>
      </c>
      <c r="G31" s="13">
        <v>0</v>
      </c>
      <c r="H31" s="12">
        <f t="shared" si="5"/>
        <v>0</v>
      </c>
      <c r="I31" s="12">
        <f t="shared" si="6"/>
        <v>1</v>
      </c>
      <c r="J31" s="12">
        <f t="shared" si="7"/>
        <v>0</v>
      </c>
      <c r="O31" s="10" t="s">
        <v>39</v>
      </c>
    </row>
    <row r="32" spans="1:19" x14ac:dyDescent="0.25">
      <c r="B32" s="12">
        <f t="shared" si="8"/>
        <v>0</v>
      </c>
      <c r="C32" s="9">
        <f t="shared" si="9"/>
        <v>1</v>
      </c>
      <c r="D32" s="9">
        <f t="shared" si="10"/>
        <v>0</v>
      </c>
      <c r="E32" s="12">
        <v>0</v>
      </c>
      <c r="F32" s="9">
        <v>0</v>
      </c>
      <c r="G32" s="13">
        <v>1</v>
      </c>
      <c r="H32" s="12">
        <f t="shared" si="5"/>
        <v>0</v>
      </c>
      <c r="I32" s="12">
        <f t="shared" si="6"/>
        <v>0</v>
      </c>
      <c r="J32" s="12">
        <f t="shared" si="7"/>
        <v>1</v>
      </c>
    </row>
    <row r="33" spans="2:19" x14ac:dyDescent="0.25">
      <c r="B33" s="12">
        <f t="shared" si="8"/>
        <v>0</v>
      </c>
      <c r="C33" s="9">
        <f t="shared" si="9"/>
        <v>0</v>
      </c>
      <c r="D33" s="9">
        <f t="shared" si="10"/>
        <v>1</v>
      </c>
      <c r="E33" s="12">
        <v>1</v>
      </c>
      <c r="F33" s="9">
        <v>0</v>
      </c>
      <c r="G33" s="13">
        <v>1</v>
      </c>
      <c r="H33" s="12">
        <f t="shared" si="5"/>
        <v>1</v>
      </c>
      <c r="I33" s="12">
        <f t="shared" si="6"/>
        <v>0</v>
      </c>
      <c r="J33" s="12">
        <f t="shared" si="7"/>
        <v>1</v>
      </c>
    </row>
    <row r="34" spans="2:19" x14ac:dyDescent="0.25">
      <c r="B34" s="12">
        <f t="shared" si="8"/>
        <v>1</v>
      </c>
      <c r="C34" s="9">
        <f t="shared" si="9"/>
        <v>0</v>
      </c>
      <c r="D34" s="9">
        <f t="shared" si="10"/>
        <v>1</v>
      </c>
      <c r="E34" s="12">
        <v>0</v>
      </c>
      <c r="F34" s="9">
        <v>1</v>
      </c>
      <c r="G34" s="13">
        <v>1</v>
      </c>
      <c r="H34" s="12">
        <f t="shared" si="5"/>
        <v>0</v>
      </c>
      <c r="I34" s="12">
        <f t="shared" si="6"/>
        <v>1</v>
      </c>
      <c r="J34" s="12">
        <f t="shared" si="7"/>
        <v>1</v>
      </c>
      <c r="O34" s="25" t="s">
        <v>37</v>
      </c>
    </row>
    <row r="35" spans="2:19" x14ac:dyDescent="0.25">
      <c r="B35" s="12">
        <f t="shared" si="8"/>
        <v>0</v>
      </c>
      <c r="C35" s="9">
        <f t="shared" si="9"/>
        <v>1</v>
      </c>
      <c r="D35" s="9">
        <f t="shared" si="10"/>
        <v>1</v>
      </c>
      <c r="E35" s="12">
        <v>1</v>
      </c>
      <c r="F35" s="9">
        <v>1</v>
      </c>
      <c r="G35" s="13">
        <v>1</v>
      </c>
      <c r="H35" s="12">
        <f t="shared" si="5"/>
        <v>1</v>
      </c>
      <c r="I35" s="12">
        <f t="shared" si="6"/>
        <v>1</v>
      </c>
      <c r="J35" s="12">
        <f t="shared" si="7"/>
        <v>1</v>
      </c>
    </row>
    <row r="36" spans="2:19" x14ac:dyDescent="0.25">
      <c r="P36" s="1" t="s">
        <v>27</v>
      </c>
    </row>
    <row r="37" spans="2:19" ht="15.75" thickBot="1" x14ac:dyDescent="0.3">
      <c r="O37" s="18" t="s">
        <v>33</v>
      </c>
      <c r="P37" s="19" t="s">
        <v>28</v>
      </c>
      <c r="Q37" s="19" t="s">
        <v>29</v>
      </c>
      <c r="R37" s="19" t="s">
        <v>30</v>
      </c>
      <c r="S37" s="19" t="s">
        <v>31</v>
      </c>
    </row>
    <row r="38" spans="2:19" x14ac:dyDescent="0.25">
      <c r="B38" s="12">
        <f>E35</f>
        <v>1</v>
      </c>
      <c r="C38" s="9">
        <f>F35</f>
        <v>1</v>
      </c>
      <c r="D38" s="9">
        <f>G35</f>
        <v>1</v>
      </c>
      <c r="E38" s="12">
        <v>0</v>
      </c>
      <c r="F38" s="9">
        <v>0</v>
      </c>
      <c r="G38" s="13">
        <v>0</v>
      </c>
      <c r="H38" s="12">
        <v>0</v>
      </c>
      <c r="I38" s="9">
        <v>0</v>
      </c>
      <c r="J38" s="13">
        <v>0</v>
      </c>
      <c r="N38" s="1" t="s">
        <v>24</v>
      </c>
      <c r="O38" s="1">
        <v>0</v>
      </c>
      <c r="P38" s="26">
        <v>0</v>
      </c>
      <c r="Q38" s="20">
        <v>1</v>
      </c>
      <c r="R38" s="27">
        <v>3</v>
      </c>
      <c r="S38" s="24">
        <v>2</v>
      </c>
    </row>
    <row r="39" spans="2:19" ht="15.75" thickBot="1" x14ac:dyDescent="0.3">
      <c r="O39" s="1">
        <v>1</v>
      </c>
      <c r="P39" s="29">
        <v>4</v>
      </c>
      <c r="Q39" s="31">
        <v>5</v>
      </c>
      <c r="R39" s="30">
        <v>7</v>
      </c>
      <c r="S39" s="23">
        <v>6</v>
      </c>
    </row>
    <row r="40" spans="2:19" x14ac:dyDescent="0.25">
      <c r="H40" s="10"/>
    </row>
    <row r="41" spans="2:19" x14ac:dyDescent="0.25">
      <c r="H41" s="10"/>
    </row>
    <row r="42" spans="2:19" x14ac:dyDescent="0.25">
      <c r="H42" s="10"/>
      <c r="O42" s="10" t="s">
        <v>40</v>
      </c>
    </row>
    <row r="45" spans="2:19" x14ac:dyDescent="0.25">
      <c r="O45" s="25" t="s">
        <v>38</v>
      </c>
    </row>
    <row r="47" spans="2:19" x14ac:dyDescent="0.25">
      <c r="P47" s="1" t="s">
        <v>27</v>
      </c>
    </row>
    <row r="48" spans="2:19" ht="15.75" thickBot="1" x14ac:dyDescent="0.3">
      <c r="O48" s="18" t="s">
        <v>32</v>
      </c>
      <c r="P48" s="19" t="s">
        <v>28</v>
      </c>
      <c r="Q48" s="19" t="s">
        <v>29</v>
      </c>
      <c r="R48" s="19" t="s">
        <v>30</v>
      </c>
      <c r="S48" s="19" t="s">
        <v>31</v>
      </c>
    </row>
    <row r="49" spans="14:19" x14ac:dyDescent="0.25">
      <c r="N49" s="1" t="s">
        <v>24</v>
      </c>
      <c r="O49" s="1">
        <v>0</v>
      </c>
      <c r="P49" s="22">
        <v>0</v>
      </c>
      <c r="Q49" s="20">
        <v>1</v>
      </c>
      <c r="R49" s="27">
        <v>3</v>
      </c>
      <c r="S49" s="28">
        <v>2</v>
      </c>
    </row>
    <row r="50" spans="14:19" ht="15.75" thickBot="1" x14ac:dyDescent="0.3">
      <c r="O50" s="1">
        <v>1</v>
      </c>
      <c r="P50" s="21">
        <v>4</v>
      </c>
      <c r="Q50" s="30">
        <v>5</v>
      </c>
      <c r="R50" s="30">
        <v>7</v>
      </c>
      <c r="S50" s="23">
        <v>6</v>
      </c>
    </row>
    <row r="53" spans="14:19" x14ac:dyDescent="0.25">
      <c r="O53" s="10" t="s">
        <v>41</v>
      </c>
    </row>
  </sheetData>
  <mergeCells count="3">
    <mergeCell ref="B27:D27"/>
    <mergeCell ref="E27:G27"/>
    <mergeCell ref="H27:J27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4 bit</vt:lpstr>
      <vt:lpstr>7 seg</vt:lpstr>
      <vt:lpstr>7 bit</vt:lpstr>
      <vt:lpstr>Sheet1</vt:lpstr>
      <vt:lpstr>Sheet4</vt:lpstr>
    </vt:vector>
  </TitlesOfParts>
  <Company>University of Edinburgh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HEARD Declan</dc:creator>
  <cp:lastModifiedBy>HEARD Declan</cp:lastModifiedBy>
  <dcterms:created xsi:type="dcterms:W3CDTF">2023-05-05T10:10:44Z</dcterms:created>
  <dcterms:modified xsi:type="dcterms:W3CDTF">2023-07-20T15:58:13Z</dcterms:modified>
</cp:coreProperties>
</file>